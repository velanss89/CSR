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1533403\SING\5_Self\04_Investment_Analysis\"/>
    </mc:Choice>
  </mc:AlternateContent>
  <xr:revisionPtr revIDLastSave="0" documentId="13_ncr:1_{6E906558-2A66-4E66-BCA5-2BDA40909D20}" xr6:coauthVersionLast="47" xr6:coauthVersionMax="47" xr10:uidLastSave="{00000000-0000-0000-0000-000000000000}"/>
  <bookViews>
    <workbookView xWindow="-110" yWindow="-110" windowWidth="19420" windowHeight="10300" activeTab="1" xr2:uid="{00000000-000D-0000-FFFF-FFFF00000000}"/>
  </bookViews>
  <sheets>
    <sheet name="Cover" sheetId="1" r:id="rId1"/>
    <sheet name="Dashboard" sheetId="2" r:id="rId2"/>
    <sheet name="Velan" sheetId="3" r:id="rId3"/>
    <sheet name="Pavi" sheetId="4" r:id="rId4"/>
    <sheet name="VelanMF" sheetId="5" r:id="rId5"/>
    <sheet name="PaviMF" sheetId="6" r:id="rId6"/>
    <sheet name="Fixed Deposits" sheetId="7" r:id="rId7"/>
    <sheet name="Recurring Deposits" sheetId="9" r:id="rId8"/>
    <sheet name="Bonds" sheetId="10" r:id="rId9"/>
  </sheets>
  <definedNames>
    <definedName name="Z_73C1CB1E_7CAF_4B71_A494_59BDB2890B38_.wvu.FilterData" localSheetId="2" hidden="1">Velan!$A$4:$H$21</definedName>
    <definedName name="Z_D1EEC2D5_142C_4093_A95B_3A00F20037DE_.wvu.FilterData" localSheetId="3" hidden="1">Pavi!$A$4:$H$23</definedName>
  </definedNames>
  <calcPr calcId="191029"/>
  <customWorkbookViews>
    <customWorkbookView name="PaviPortfolio filter view" guid="{D1EEC2D5-142C-4093-A95B-3A00F20037DE}" maximized="1" windowWidth="0" windowHeight="0" activeSheetId="0"/>
    <customWorkbookView name="VelanPortfolio filter view" guid="{73C1CB1E-7CAF-4B71-A494-59BDB2890B38}"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pdZZm9Hf5qzUoePHlfhoNhnxUtBhX2tONlqzTLLPXn8="/>
    </ext>
  </extLst>
</workbook>
</file>

<file path=xl/calcChain.xml><?xml version="1.0" encoding="utf-8"?>
<calcChain xmlns="http://schemas.openxmlformats.org/spreadsheetml/2006/main">
  <c r="C26" i="2" l="1"/>
  <c r="B26" i="2"/>
  <c r="C21" i="2"/>
  <c r="C12" i="2" s="1"/>
  <c r="H12" i="2" s="1"/>
  <c r="B21" i="2"/>
  <c r="B12" i="2" s="1"/>
  <c r="O6" i="7"/>
  <c r="N6" i="7"/>
  <c r="E26" i="2" s="1"/>
  <c r="J6" i="7"/>
  <c r="L6" i="7" s="1"/>
  <c r="M6" i="7" s="1"/>
  <c r="F26" i="2" s="1"/>
  <c r="G26" i="2" s="1"/>
  <c r="I6" i="7"/>
  <c r="O5" i="7"/>
  <c r="J5" i="7"/>
  <c r="L5" i="7" s="1"/>
  <c r="M5" i="7" s="1"/>
  <c r="F21" i="2" s="1"/>
  <c r="G21" i="2" s="1"/>
  <c r="I5" i="7"/>
  <c r="N5" i="7" s="1"/>
  <c r="E21" i="2" s="1"/>
  <c r="E12" i="2" s="1"/>
  <c r="B28" i="2"/>
  <c r="B23" i="2"/>
  <c r="B14" i="2" s="1"/>
  <c r="B27" i="2"/>
  <c r="E27" i="2"/>
  <c r="B22" i="2"/>
  <c r="B13" i="2" s="1"/>
  <c r="E22" i="2"/>
  <c r="E13" i="2" s="1"/>
  <c r="S6" i="10"/>
  <c r="R6" i="10"/>
  <c r="F28" i="2" s="1"/>
  <c r="Q6" i="10"/>
  <c r="E28" i="2" s="1"/>
  <c r="P6" i="10"/>
  <c r="D28" i="2" s="1"/>
  <c r="O6" i="10"/>
  <c r="N6" i="10"/>
  <c r="C28" i="2" s="1"/>
  <c r="S5" i="10"/>
  <c r="Q5" i="10"/>
  <c r="E23" i="2" s="1"/>
  <c r="P5" i="10"/>
  <c r="O5" i="10"/>
  <c r="N5" i="10"/>
  <c r="R5" i="10" s="1"/>
  <c r="F23" i="2" s="1"/>
  <c r="O6" i="9"/>
  <c r="I6" i="9"/>
  <c r="M6" i="9" s="1"/>
  <c r="O5" i="9"/>
  <c r="L5" i="9"/>
  <c r="D22" i="2" s="1"/>
  <c r="I5" i="9"/>
  <c r="J5" i="9" s="1"/>
  <c r="G5" i="4"/>
  <c r="H5" i="4"/>
  <c r="I5" i="4"/>
  <c r="J5" i="4"/>
  <c r="G6" i="4"/>
  <c r="H6" i="4"/>
  <c r="I6" i="4"/>
  <c r="J6" i="4"/>
  <c r="G7" i="4"/>
  <c r="H7" i="4"/>
  <c r="I7" i="4"/>
  <c r="J7" i="4"/>
  <c r="G8" i="4"/>
  <c r="H8" i="4"/>
  <c r="I8" i="4"/>
  <c r="J8" i="4"/>
  <c r="G9" i="4"/>
  <c r="H9" i="4"/>
  <c r="I9" i="4"/>
  <c r="J9" i="4"/>
  <c r="G10" i="4"/>
  <c r="H10" i="4"/>
  <c r="I10" i="4"/>
  <c r="J10" i="4"/>
  <c r="G11" i="4"/>
  <c r="H11" i="4"/>
  <c r="I11" i="4"/>
  <c r="J11" i="4"/>
  <c r="G12" i="4"/>
  <c r="H12" i="4"/>
  <c r="I12" i="4"/>
  <c r="J12" i="4"/>
  <c r="G13" i="4"/>
  <c r="H13" i="4"/>
  <c r="I13" i="4"/>
  <c r="J13" i="4"/>
  <c r="G14" i="4"/>
  <c r="H14" i="4"/>
  <c r="I14" i="4"/>
  <c r="J14" i="4"/>
  <c r="G15" i="4"/>
  <c r="H15" i="4"/>
  <c r="I15" i="4"/>
  <c r="J15" i="4"/>
  <c r="G16" i="4"/>
  <c r="H16" i="4"/>
  <c r="I16" i="4"/>
  <c r="J16" i="4"/>
  <c r="G17" i="4"/>
  <c r="H17" i="4"/>
  <c r="I17" i="4"/>
  <c r="J17" i="4"/>
  <c r="G18" i="4"/>
  <c r="H18" i="4"/>
  <c r="I18" i="4"/>
  <c r="J18" i="4"/>
  <c r="G19" i="4"/>
  <c r="H19" i="4"/>
  <c r="I19" i="4"/>
  <c r="J19" i="4"/>
  <c r="G20" i="4"/>
  <c r="H20" i="4"/>
  <c r="I20" i="4"/>
  <c r="J20" i="4"/>
  <c r="G21" i="4"/>
  <c r="H21" i="4"/>
  <c r="I21" i="4"/>
  <c r="J21" i="4"/>
  <c r="G22" i="4"/>
  <c r="H22" i="4"/>
  <c r="I22" i="4"/>
  <c r="J22" i="4"/>
  <c r="G23" i="4"/>
  <c r="H23" i="4"/>
  <c r="I23" i="4"/>
  <c r="J23" i="4"/>
  <c r="G5" i="3"/>
  <c r="H5" i="3"/>
  <c r="I5" i="3"/>
  <c r="J5" i="3"/>
  <c r="G6" i="3"/>
  <c r="H6" i="3"/>
  <c r="I6" i="3"/>
  <c r="J6" i="3"/>
  <c r="G7" i="3"/>
  <c r="H7" i="3"/>
  <c r="I7" i="3"/>
  <c r="J7" i="3"/>
  <c r="G8" i="3"/>
  <c r="H8" i="3"/>
  <c r="I8" i="3"/>
  <c r="J8" i="3"/>
  <c r="G9" i="3"/>
  <c r="H9" i="3"/>
  <c r="I9" i="3"/>
  <c r="J9" i="3"/>
  <c r="G10" i="3"/>
  <c r="H10" i="3"/>
  <c r="I10" i="3"/>
  <c r="J10" i="3"/>
  <c r="G11" i="3"/>
  <c r="H11" i="3"/>
  <c r="I11" i="3"/>
  <c r="J11" i="3"/>
  <c r="G12" i="3"/>
  <c r="H12" i="3"/>
  <c r="I12" i="3"/>
  <c r="J12" i="3"/>
  <c r="G13" i="3"/>
  <c r="H13" i="3"/>
  <c r="I13" i="3"/>
  <c r="J13" i="3"/>
  <c r="G14" i="3"/>
  <c r="H14" i="3"/>
  <c r="I14" i="3"/>
  <c r="J14" i="3"/>
  <c r="G15" i="3"/>
  <c r="H15" i="3"/>
  <c r="I15" i="3"/>
  <c r="J15" i="3"/>
  <c r="G16" i="3"/>
  <c r="H16" i="3"/>
  <c r="I16" i="3"/>
  <c r="J16" i="3"/>
  <c r="G17" i="3"/>
  <c r="H17" i="3"/>
  <c r="I17" i="3"/>
  <c r="J17" i="3"/>
  <c r="G18" i="3"/>
  <c r="H18" i="3"/>
  <c r="I18" i="3"/>
  <c r="J18" i="3"/>
  <c r="G19" i="3"/>
  <c r="H19" i="3"/>
  <c r="I19" i="3"/>
  <c r="J19" i="3"/>
  <c r="G20" i="3"/>
  <c r="H20" i="3"/>
  <c r="I20" i="3"/>
  <c r="J20" i="3"/>
  <c r="G21" i="3"/>
  <c r="H21" i="3"/>
  <c r="I21" i="3"/>
  <c r="J21" i="3"/>
  <c r="E5" i="6"/>
  <c r="H5" i="6" s="1"/>
  <c r="D5" i="6"/>
  <c r="B5" i="6"/>
  <c r="E6" i="5"/>
  <c r="H6" i="5" s="1"/>
  <c r="D6" i="5"/>
  <c r="B6" i="5"/>
  <c r="E5" i="5"/>
  <c r="H5" i="5" s="1"/>
  <c r="D5" i="5"/>
  <c r="B5" i="5"/>
  <c r="E14" i="2" l="1"/>
  <c r="K6" i="7"/>
  <c r="M5" i="9"/>
  <c r="L6" i="9"/>
  <c r="G28" i="2"/>
  <c r="K5" i="7"/>
  <c r="C23" i="2"/>
  <c r="C14" i="2" s="1"/>
  <c r="H14" i="2" s="1"/>
  <c r="D23" i="2"/>
  <c r="D14" i="2" s="1"/>
  <c r="F12" i="2"/>
  <c r="G12" i="2" s="1"/>
  <c r="D26" i="2"/>
  <c r="D21" i="2"/>
  <c r="F14" i="2"/>
  <c r="C22" i="2"/>
  <c r="N5" i="9"/>
  <c r="F22" i="2" s="1"/>
  <c r="J6" i="9"/>
  <c r="C27" i="2" s="1"/>
  <c r="K6" i="9"/>
  <c r="K5" i="9"/>
  <c r="D27" i="2"/>
  <c r="D13" i="2" s="1"/>
  <c r="G5" i="6"/>
  <c r="G6" i="5"/>
  <c r="G5" i="5"/>
  <c r="G14" i="2" l="1"/>
  <c r="G23" i="2"/>
  <c r="D12" i="2"/>
  <c r="N6" i="9"/>
  <c r="F27" i="2" s="1"/>
  <c r="G27" i="2" s="1"/>
  <c r="C13" i="2"/>
  <c r="H13" i="2" s="1"/>
  <c r="G22" i="2"/>
  <c r="F13" i="2" l="1"/>
  <c r="G13" i="2" s="1"/>
</calcChain>
</file>

<file path=xl/sharedStrings.xml><?xml version="1.0" encoding="utf-8"?>
<sst xmlns="http://schemas.openxmlformats.org/spreadsheetml/2006/main" count="246" uniqueCount="165">
  <si>
    <t>PORTFOLIO DASHBOARD</t>
  </si>
  <si>
    <t>PORTFOLIO RECORD TRACKER</t>
  </si>
  <si>
    <t>SHEET</t>
  </si>
  <si>
    <t>TOTAL INVESTED</t>
  </si>
  <si>
    <t>PURPOSE</t>
  </si>
  <si>
    <t>Dashboard</t>
  </si>
  <si>
    <t>CURRENT VALUE</t>
  </si>
  <si>
    <t>TODAY'S P&amp;L</t>
  </si>
  <si>
    <t>Velan</t>
  </si>
  <si>
    <t>TOTAL P&amp;L</t>
  </si>
  <si>
    <t>Pavi</t>
  </si>
  <si>
    <t>Cover</t>
  </si>
  <si>
    <t>Workbook guide and usage summary.</t>
  </si>
  <si>
    <t>HOW TO USE</t>
  </si>
  <si>
    <t>VELAN PORTFOLIO</t>
  </si>
  <si>
    <t>PAVI PORTFOLIO</t>
  </si>
  <si>
    <t>Symbol</t>
  </si>
  <si>
    <t>Name</t>
  </si>
  <si>
    <t>Buy Price</t>
  </si>
  <si>
    <t>Previous Close</t>
  </si>
  <si>
    <t>CMP</t>
  </si>
  <si>
    <t>Quantity</t>
  </si>
  <si>
    <t>PL (Today)</t>
  </si>
  <si>
    <t>PL (Total)</t>
  </si>
  <si>
    <t>ANANTRAJ</t>
  </si>
  <si>
    <t>CHENNPETRO</t>
  </si>
  <si>
    <t>ANGELONE</t>
  </si>
  <si>
    <t>DIXON</t>
  </si>
  <si>
    <t>AUTOBEES</t>
  </si>
  <si>
    <t>HCLTECH</t>
  </si>
  <si>
    <t>POSITIONS</t>
  </si>
  <si>
    <t>INVESTED</t>
  </si>
  <si>
    <t>HDBFS</t>
  </si>
  <si>
    <t>TATA_ARBI_DIR_18P1ZST</t>
  </si>
  <si>
    <t>BANKBEES</t>
  </si>
  <si>
    <t>IDFCFIRSTB</t>
  </si>
  <si>
    <t>COALINDIA</t>
  </si>
  <si>
    <t>QUAN_ELSS_TAX_KBGFAS</t>
  </si>
  <si>
    <t>ITCHOTELS</t>
  </si>
  <si>
    <t>KTKBANK</t>
  </si>
  <si>
    <t>MODEFENCE</t>
  </si>
  <si>
    <t>Combined</t>
  </si>
  <si>
    <t>GOLDBEES</t>
  </si>
  <si>
    <t>STORY IN BRIEF</t>
  </si>
  <si>
    <t>NATCOPHARM</t>
  </si>
  <si>
    <t>NETWEB</t>
  </si>
  <si>
    <t>HAL</t>
  </si>
  <si>
    <t>OIL</t>
  </si>
  <si>
    <t>PFC</t>
  </si>
  <si>
    <t>RECLTD</t>
  </si>
  <si>
    <t>SOUTHBANK</t>
  </si>
  <si>
    <t>TATAPOWER</t>
  </si>
  <si>
    <t>JSWENERGY</t>
  </si>
  <si>
    <t>TMCV</t>
  </si>
  <si>
    <t>NIFTYBEES</t>
  </si>
  <si>
    <t>THANGAMAYL</t>
  </si>
  <si>
    <t>WABAG</t>
  </si>
  <si>
    <t>ASSET CLASS SUMMARY</t>
  </si>
  <si>
    <t>ASSET CLASS</t>
  </si>
  <si>
    <t>RETURN %</t>
  </si>
  <si>
    <t>ALLOCATION</t>
  </si>
  <si>
    <t>Equity</t>
  </si>
  <si>
    <t>Mutual Funds</t>
  </si>
  <si>
    <t>OWNER &amp; ASSET DETAIL</t>
  </si>
  <si>
    <t>OWNER / ASSET</t>
  </si>
  <si>
    <t>Velan — Equity</t>
  </si>
  <si>
    <t>Velan — Mutual Funds</t>
  </si>
  <si>
    <t>Pavi — Equity</t>
  </si>
  <si>
    <t>Pavi — Mutual Funds</t>
  </si>
  <si>
    <t>Velan's equity position register.</t>
  </si>
  <si>
    <t>VelanMF</t>
  </si>
  <si>
    <t>Velan's mutual-fund position register.</t>
  </si>
  <si>
    <t>Pavi's equity position register.</t>
  </si>
  <si>
    <t>PaviMF</t>
  </si>
  <si>
    <t>Pavi's mutual-fund position register.</t>
  </si>
  <si>
    <t>PL (Today) %</t>
  </si>
  <si>
    <t>PL (Total) %</t>
  </si>
  <si>
    <t>Anant Raj Ltd</t>
  </si>
  <si>
    <t>Chennai Petroleum Corporation Ltd</t>
  </si>
  <si>
    <t>Dixon Technologies (India) Ltd</t>
  </si>
  <si>
    <t>HCL Technologies Ltd</t>
  </si>
  <si>
    <t>HDB Financial Services Ltd</t>
  </si>
  <si>
    <t>IDFC First Bank Ltd</t>
  </si>
  <si>
    <t>ITC Hotels Ltd</t>
  </si>
  <si>
    <t>Karnataka Bank Ltd</t>
  </si>
  <si>
    <t>Motilal Oswal Nifty India Defence ETF</t>
  </si>
  <si>
    <t>Natco Pharma Ltd</t>
  </si>
  <si>
    <t>Netweb Technologies India Ltd</t>
  </si>
  <si>
    <t>Oil India Ltd</t>
  </si>
  <si>
    <t>Power Finance Corporation Ltd</t>
  </si>
  <si>
    <t>REC Ltd</t>
  </si>
  <si>
    <t>South Indian Bank Ltd</t>
  </si>
  <si>
    <t>Tata Power Company Ltd</t>
  </si>
  <si>
    <t>Tata Motors Ltd</t>
  </si>
  <si>
    <t>Enter inputs in Symbol through CMP; daily and total P&amp;L amounts and percentages calculate automatically.</t>
  </si>
  <si>
    <t>Angel One Ltd</t>
  </si>
  <si>
    <t>Nippon India Nifty Auto ETF</t>
  </si>
  <si>
    <t>Nippon India Etf Nifty Bank Bees</t>
  </si>
  <si>
    <t>Coal India Limited</t>
  </si>
  <si>
    <t>Nippon India ETF Gold BeES</t>
  </si>
  <si>
    <t>Hindustan Aeronautics Ltd</t>
  </si>
  <si>
    <t>JSW Energy Ltd</t>
  </si>
  <si>
    <t>Nippon India ETF Nifty 50 BeES</t>
  </si>
  <si>
    <t>Thangamayil Jewellery Ltd</t>
  </si>
  <si>
    <t>VA Tech Wabag Ltd</t>
  </si>
  <si>
    <t>VELAN MUTUAL FUND PORTFOLIO</t>
  </si>
  <si>
    <t>Enter Symbol, Name, Buy Price, Previous Close, CMP, and Quantity; P&amp;L calculates automatically.</t>
  </si>
  <si>
    <t>PAVI MUTUAL FUND PORTFOLIO</t>
  </si>
  <si>
    <t>FIXED DEPOSIT REGISTER</t>
  </si>
  <si>
    <t>Enter FD details for Velan and Pavi; maturity, accrued value, interest, and status calculate automatically.</t>
  </si>
  <si>
    <t>Owner</t>
  </si>
  <si>
    <t>Bank / Institution</t>
  </si>
  <si>
    <t>FD Number</t>
  </si>
  <si>
    <t>Principal</t>
  </si>
  <si>
    <t>Start Date</t>
  </si>
  <si>
    <t>Maturity Date</t>
  </si>
  <si>
    <t>Interest Rate</t>
  </si>
  <si>
    <t>Compounding Frequency</t>
  </si>
  <si>
    <t>Tenure (Days)</t>
  </si>
  <si>
    <t>Maturity Value</t>
  </si>
  <si>
    <t>Accrued Value</t>
  </si>
  <si>
    <t>Accrued Interest</t>
  </si>
  <si>
    <t>Today's Interest</t>
  </si>
  <si>
    <t>Status</t>
  </si>
  <si>
    <t>Periods / Year</t>
  </si>
  <si>
    <t>Fixed Deposits</t>
  </si>
  <si>
    <t>Velan — Fixed Deposits</t>
  </si>
  <si>
    <t>Pavi — Fixed Deposits</t>
  </si>
  <si>
    <t>IDFC</t>
  </si>
  <si>
    <t>RECURRING DEPOSIT REGISTER</t>
  </si>
  <si>
    <t>Monthly deposits with quarterly compounding for Velan and Pavi; calculated columns update from the entered terms.</t>
  </si>
  <si>
    <t>RD Number</t>
  </si>
  <si>
    <t>Monthly Deposit</t>
  </si>
  <si>
    <t>Deposit Day</t>
  </si>
  <si>
    <t>Tenure (Months)</t>
  </si>
  <si>
    <t>Deposited to Date</t>
  </si>
  <si>
    <t>Total Scheduled Deposit</t>
  </si>
  <si>
    <t>BOND REGISTER</t>
  </si>
  <si>
    <t>Track purchases, coupon income, market value, daily movement, and total return for Velan and Pavi.</t>
  </si>
  <si>
    <t>Issuer</t>
  </si>
  <si>
    <t>ISIN / Bond ID</t>
  </si>
  <si>
    <t>Face Value</t>
  </si>
  <si>
    <t>Purchase Price</t>
  </si>
  <si>
    <t>Purchase Date</t>
  </si>
  <si>
    <t>Coupon Rate</t>
  </si>
  <si>
    <t>Coupon Frequency</t>
  </si>
  <si>
    <t>Next Coupon Date</t>
  </si>
  <si>
    <t>Market Price</t>
  </si>
  <si>
    <t>Invested Value</t>
  </si>
  <si>
    <t>Current Value</t>
  </si>
  <si>
    <t>Accrued Coupon</t>
  </si>
  <si>
    <t>Equity, mutual funds, fixed deposits, recurring deposits, and bonds for Velan and Pavi</t>
  </si>
  <si>
    <t>Recurring Deposits</t>
  </si>
  <si>
    <t>Bonds</t>
  </si>
  <si>
    <t>Velan — Recurring Deposits</t>
  </si>
  <si>
    <t>Velan — Bonds</t>
  </si>
  <si>
    <t>Pavi — Recurring Deposits</t>
  </si>
  <si>
    <t>Pavi — Bonds</t>
  </si>
  <si>
    <t>The dashboard now separates Equity, Mutual Funds, Fixed Deposits, Recurring Deposits, and Bonds. RD and Bond rows begin at zero and are linked to their owner registers; enter the required yellow input cells to populate their summaries.</t>
  </si>
  <si>
    <t>Live records across Equity, Mutual Funds, FD, RD, and Bonds for Velan and Pavi</t>
  </si>
  <si>
    <t>Combined asset-class and owner performance summary.</t>
  </si>
  <si>
    <t>Owner-based FD register with accrued-value tracking.</t>
  </si>
  <si>
    <t>Monthly RD tracking with quarterly compounding.</t>
  </si>
  <si>
    <t>Bond purchases, coupons, market value, and P&amp;L.</t>
  </si>
  <si>
    <t>Enter data only in the yellow input cells of the relevant register. For RD, provide the monthly deposit, dates, rate, and deposit day. For Bonds, provide purchase, coupon, maturity, and market-price details. Calculated columns feed the dedicated dashboard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</si>
</sst>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
    <numFmt numFmtId="165" formatCode="\₹#,##0.00;[Red]\-\₹#,##0.00"/>
    <numFmt numFmtId="166" formatCode="\₹###,##0.00;[Red]\-\₹###,##0.00"/>
    <numFmt numFmtId="167" formatCode="0.0%"/>
    <numFmt numFmtId="168" formatCode="0.00%;[Red]\-0.00%"/>
    <numFmt numFmtId="169" formatCode="dd/mmm/yyyy"/>
    <numFmt numFmtId="170" formatCode="\₹###,##0.00"/>
  </numFmts>
  <fonts count="12" x14ac:knownFonts="1">
    <font>
      <sz val="10"/>
      <color theme="1"/>
      <name val="Arial"/>
      <scheme val="minor"/>
    </font>
    <font>
      <sz val="10"/>
      <color theme="1"/>
      <name val="Arial"/>
    </font>
    <font>
      <sz val="8"/>
      <name val="Arial"/>
      <scheme val="minor"/>
    </font>
    <font>
      <b/>
      <sz val="18"/>
      <color rgb="FFFFFFFF"/>
      <name val="Aptos"/>
    </font>
    <font>
      <i/>
      <sz val="10"/>
      <color rgb="FF666666"/>
      <name val="Aptos"/>
    </font>
    <font>
      <sz val="10"/>
      <color theme="1"/>
      <name val="Aptos"/>
    </font>
    <font>
      <b/>
      <sz val="10"/>
      <color rgb="FFFFFFFF"/>
      <name val="Aptos"/>
    </font>
    <font>
      <b/>
      <sz val="10"/>
      <color rgb="FF4472C4"/>
      <name val="Aptos"/>
    </font>
    <font>
      <b/>
      <sz val="18"/>
      <color rgb="FFFFFFFF"/>
      <name val="Aptos Display"/>
    </font>
    <font>
      <b/>
      <sz val="12"/>
      <color rgb="FFFFFFFF"/>
      <name val="Aptos"/>
    </font>
    <font>
      <b/>
      <sz val="10"/>
      <color theme="1"/>
      <name val="Aptos"/>
    </font>
    <font>
      <b/>
      <sz val="20"/>
      <color rgb="FF17365D"/>
      <name val="Aptos"/>
    </font>
  </fonts>
  <fills count="8">
    <fill>
      <patternFill patternType="none"/>
    </fill>
    <fill>
      <patternFill patternType="gray125"/>
    </fill>
    <fill>
      <patternFill patternType="solid">
        <fgColor rgb="FF17365D"/>
        <bgColor indexed="64"/>
      </patternFill>
    </fill>
    <fill>
      <patternFill patternType="solid">
        <fgColor rgb="FF4472C4"/>
        <bgColor indexed="64"/>
      </patternFill>
    </fill>
    <fill>
      <patternFill patternType="solid">
        <fgColor rgb="FFD9EAF7"/>
        <bgColor indexed="64"/>
      </patternFill>
    </fill>
    <fill>
      <patternFill patternType="solid">
        <fgColor rgb="FFF5F8FC"/>
        <bgColor indexed="64"/>
      </patternFill>
    </fill>
    <fill>
      <patternFill patternType="solid">
        <fgColor rgb="FF2F75B5"/>
        <bgColor indexed="64"/>
      </patternFill>
    </fill>
    <fill>
      <patternFill patternType="solid">
        <fgColor rgb="FFFFF2CC"/>
        <bgColor indexed="64"/>
      </patternFill>
    </fill>
  </fills>
  <borders count="3">
    <border>
      <left/>
      <right/>
      <top/>
      <bottom/>
      <diagonal/>
    </border>
    <border>
      <left/>
      <right/>
      <top/>
      <bottom/>
      <diagonal/>
    </border>
    <border>
      <left/>
      <right/>
      <top/>
      <bottom/>
      <diagonal/>
    </border>
  </borders>
  <cellStyleXfs count="1">
    <xf numFmtId="0" fontId="0" fillId="0" borderId="0"/>
  </cellStyleXfs>
  <cellXfs count="56">
    <xf numFmtId="0" fontId="0" fillId="0" borderId="0" xfId="0"/>
    <xf numFmtId="3" fontId="1" fillId="0" borderId="0" xfId="0" applyNumberFormat="1" applyFont="1"/>
    <xf numFmtId="164" fontId="1" fillId="0" borderId="0" xfId="0" applyNumberFormat="1" applyFont="1"/>
    <xf numFmtId="165" fontId="1" fillId="0" borderId="0" xfId="0" applyNumberFormat="1" applyFont="1"/>
    <xf numFmtId="3" fontId="0" fillId="0" borderId="0" xfId="0" applyNumberFormat="1"/>
    <xf numFmtId="166" fontId="0" fillId="0" borderId="0" xfId="0" applyNumberFormat="1"/>
    <xf numFmtId="0" fontId="3" fillId="2" borderId="2" xfId="0" applyFont="1" applyFill="1" applyBorder="1" applyAlignment="1">
      <alignment horizontal="center"/>
    </xf>
    <xf numFmtId="0" fontId="5" fillId="0" borderId="0" xfId="0" applyFont="1"/>
    <xf numFmtId="0" fontId="6" fillId="3" borderId="0" xfId="0" applyFont="1" applyFill="1"/>
    <xf numFmtId="0" fontId="4" fillId="5" borderId="2" xfId="0" applyFont="1" applyFill="1" applyBorder="1" applyAlignment="1">
      <alignment horizontal="center"/>
    </xf>
    <xf numFmtId="0" fontId="7" fillId="5" borderId="0" xfId="0" applyFont="1" applyFill="1"/>
    <xf numFmtId="0" fontId="5" fillId="5" borderId="0" xfId="0" applyFont="1" applyFill="1"/>
    <xf numFmtId="0" fontId="6" fillId="6" borderId="2" xfId="0" applyFont="1" applyFill="1" applyBorder="1"/>
    <xf numFmtId="0" fontId="5" fillId="5" borderId="2" xfId="0" applyFont="1" applyFill="1" applyBorder="1" applyAlignment="1">
      <alignment vertical="center" wrapText="1"/>
    </xf>
    <xf numFmtId="166" fontId="5" fillId="0" borderId="0" xfId="0" applyNumberFormat="1" applyFont="1" applyAlignment="1">
      <alignment horizontal="right"/>
    </xf>
    <xf numFmtId="0" fontId="9" fillId="6" borderId="2" xfId="0" applyFont="1" applyFill="1" applyBorder="1"/>
    <xf numFmtId="0" fontId="6" fillId="3" borderId="0" xfId="0" applyFont="1" applyFill="1" applyAlignment="1">
      <alignment horizontal="center" vertical="center" wrapText="1"/>
    </xf>
    <xf numFmtId="0" fontId="6" fillId="3" borderId="0" xfId="0" applyFont="1" applyFill="1" applyAlignment="1">
      <alignment horizontal="center" wrapText="1"/>
    </xf>
    <xf numFmtId="0" fontId="5" fillId="0" borderId="0" xfId="0" applyFont="1" applyAlignment="1">
      <alignment horizontal="left" vertical="center"/>
    </xf>
    <xf numFmtId="0" fontId="5" fillId="0" borderId="0" xfId="0" applyFont="1" applyAlignment="1">
      <alignment horizontal="left" vertical="center" wrapText="1"/>
    </xf>
    <xf numFmtId="166" fontId="5" fillId="0" borderId="0" xfId="0" applyNumberFormat="1" applyFont="1" applyAlignment="1">
      <alignment horizontal="right" vertical="center"/>
    </xf>
    <xf numFmtId="3" fontId="5" fillId="0" borderId="0" xfId="0" applyNumberFormat="1" applyFont="1" applyAlignment="1">
      <alignment horizontal="right" vertical="center"/>
    </xf>
    <xf numFmtId="168" fontId="5" fillId="0" borderId="0" xfId="0" applyNumberFormat="1" applyFont="1" applyAlignment="1">
      <alignment horizontal="right" vertical="center"/>
    </xf>
    <xf numFmtId="168" fontId="5" fillId="0" borderId="0" xfId="0" applyNumberFormat="1" applyFont="1" applyAlignment="1">
      <alignment horizontal="right"/>
    </xf>
    <xf numFmtId="0" fontId="8" fillId="2" borderId="1" xfId="0" applyFont="1" applyFill="1" applyBorder="1" applyAlignment="1">
      <alignment horizontal="center" vertical="center"/>
    </xf>
    <xf numFmtId="0" fontId="4" fillId="5" borderId="0" xfId="0" applyFont="1" applyFill="1" applyAlignment="1">
      <alignment horizontal="center" vertical="center" wrapText="1"/>
    </xf>
    <xf numFmtId="3" fontId="5" fillId="0" borderId="0" xfId="0" applyNumberFormat="1" applyFont="1"/>
    <xf numFmtId="0" fontId="6" fillId="3" borderId="0" xfId="0" applyFont="1" applyFill="1" applyAlignment="1">
      <alignment wrapText="1"/>
    </xf>
    <xf numFmtId="0" fontId="5" fillId="0" borderId="0" xfId="0" applyFont="1" applyAlignment="1">
      <alignment wrapText="1"/>
    </xf>
    <xf numFmtId="166" fontId="5" fillId="0" borderId="0" xfId="0" applyNumberFormat="1" applyFont="1"/>
    <xf numFmtId="0" fontId="5" fillId="7" borderId="0" xfId="0" applyFont="1" applyFill="1"/>
    <xf numFmtId="166" fontId="5" fillId="7" borderId="0" xfId="0" applyNumberFormat="1" applyFont="1" applyFill="1"/>
    <xf numFmtId="169" fontId="5" fillId="7" borderId="0" xfId="0" applyNumberFormat="1" applyFont="1" applyFill="1"/>
    <xf numFmtId="169" fontId="0" fillId="0" borderId="0" xfId="0" applyNumberFormat="1"/>
    <xf numFmtId="10" fontId="5" fillId="7" borderId="0" xfId="0" applyNumberFormat="1" applyFont="1" applyFill="1"/>
    <xf numFmtId="10" fontId="0" fillId="0" borderId="0" xfId="0" applyNumberFormat="1"/>
    <xf numFmtId="0" fontId="6" fillId="3" borderId="2" xfId="0" applyFont="1" applyFill="1" applyBorder="1"/>
    <xf numFmtId="0" fontId="10" fillId="4" borderId="0" xfId="0" applyFont="1" applyFill="1"/>
    <xf numFmtId="0" fontId="5" fillId="5" borderId="2" xfId="0" applyFont="1" applyFill="1" applyBorder="1" applyAlignment="1">
      <alignment wrapText="1"/>
    </xf>
    <xf numFmtId="3" fontId="5" fillId="5" borderId="0" xfId="0" applyNumberFormat="1" applyFont="1" applyFill="1"/>
    <xf numFmtId="3" fontId="10" fillId="4" borderId="0" xfId="0" applyNumberFormat="1" applyFont="1" applyFill="1"/>
    <xf numFmtId="3" fontId="9" fillId="6" borderId="2" xfId="0" applyNumberFormat="1" applyFont="1" applyFill="1" applyBorder="1"/>
    <xf numFmtId="3" fontId="6" fillId="3" borderId="0" xfId="0" applyNumberFormat="1" applyFont="1" applyFill="1" applyAlignment="1">
      <alignment wrapText="1"/>
    </xf>
    <xf numFmtId="166" fontId="5" fillId="5" borderId="0" xfId="0" applyNumberFormat="1" applyFont="1" applyFill="1"/>
    <xf numFmtId="166" fontId="10" fillId="4" borderId="0" xfId="0" applyNumberFormat="1" applyFont="1" applyFill="1"/>
    <xf numFmtId="166" fontId="9" fillId="6" borderId="2" xfId="0" applyNumberFormat="1" applyFont="1" applyFill="1" applyBorder="1"/>
    <xf numFmtId="166" fontId="6" fillId="3" borderId="0" xfId="0" applyNumberFormat="1" applyFont="1" applyFill="1" applyAlignment="1">
      <alignment wrapText="1"/>
    </xf>
    <xf numFmtId="167" fontId="5" fillId="5" borderId="0" xfId="0" applyNumberFormat="1" applyFont="1" applyFill="1"/>
    <xf numFmtId="167" fontId="10" fillId="4" borderId="0" xfId="0" applyNumberFormat="1" applyFont="1" applyFill="1"/>
    <xf numFmtId="166" fontId="11" fillId="4" borderId="2" xfId="0" applyNumberFormat="1" applyFont="1" applyFill="1" applyBorder="1" applyAlignment="1">
      <alignment horizontal="center"/>
    </xf>
    <xf numFmtId="0" fontId="5" fillId="5" borderId="0" xfId="0" applyFont="1" applyFill="1" applyAlignment="1">
      <alignment wrapText="1"/>
    </xf>
    <xf numFmtId="170" fontId="5" fillId="7" borderId="0" xfId="0" applyNumberFormat="1" applyFont="1" applyFill="1"/>
    <xf numFmtId="170" fontId="0" fillId="0" borderId="0" xfId="0" applyNumberFormat="1"/>
    <xf numFmtId="3" fontId="5" fillId="7" borderId="0" xfId="0" applyNumberFormat="1" applyFont="1" applyFill="1"/>
    <xf numFmtId="1" fontId="5" fillId="7" borderId="0" xfId="0" applyNumberFormat="1" applyFont="1" applyFill="1"/>
    <xf numFmtId="1" fontId="0" fillId="0" borderId="0" xfId="0" applyNumberFormat="1"/>
  </cellXfs>
  <cellStyles count="1">
    <cellStyle name="Normal" xfId="0" builtinId="0"/>
  </cellStyles>
  <dxfs count="191">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b/>
        <i val="0"/>
        <color rgb="FFC00000"/>
      </font>
      <fill>
        <patternFill patternType="solid">
          <fgColor indexed="64"/>
          <bgColor rgb="FFFCE4D6"/>
        </patternFill>
      </fill>
    </dxf>
    <dxf>
      <font>
        <b/>
        <i val="0"/>
        <color rgb="FF008000"/>
      </font>
      <fill>
        <patternFill patternType="solid">
          <fgColor indexed="64"/>
          <bgColor rgb="FFE2F0D9"/>
        </patternFill>
      </fill>
    </dxf>
    <dxf>
      <font>
        <name val="Aptos"/>
      </font>
      <numFmt numFmtId="166" formatCode="\₹###,##0.00;[Red]\-\₹###,##0.00"/>
    </dxf>
    <dxf>
      <font>
        <name val="Aptos"/>
      </font>
      <numFmt numFmtId="166" formatCode="\₹###,##0.00;[Red]\-\₹###,##0.00"/>
    </dxf>
    <dxf>
      <font>
        <name val="Aptos"/>
      </font>
      <numFmt numFmtId="166" formatCode="\₹###,##0.00;[Red]\-\₹###,##0.00"/>
    </dxf>
    <dxf>
      <font>
        <name val="Aptos"/>
      </font>
      <numFmt numFmtId="166" formatCode="\₹###,##0.00;[Red]\-\₹###,##0.00"/>
    </dxf>
    <dxf>
      <font>
        <name val="Aptos"/>
      </font>
      <numFmt numFmtId="166" formatCode="\₹###,##0.00;[Red]\-\₹###,##0.00"/>
    </dxf>
    <dxf>
      <font>
        <name val="Aptos"/>
      </font>
      <numFmt numFmtId="166" formatCode="\₹###,##0.00;[Red]\-\₹###,##0.00"/>
      <fill>
        <patternFill patternType="solid">
          <fgColor indexed="64"/>
          <bgColor rgb="FFFFF2CC"/>
        </patternFill>
      </fill>
    </dxf>
    <dxf>
      <font>
        <name val="Aptos"/>
      </font>
      <numFmt numFmtId="166" formatCode="\₹###,##0.00;[Red]\-\₹###,##0.00"/>
      <fill>
        <patternFill patternType="solid">
          <fgColor indexed="64"/>
          <bgColor rgb="FFFFF2CC"/>
        </patternFill>
      </fill>
    </dxf>
    <dxf>
      <font>
        <name val="Aptos"/>
      </font>
      <numFmt numFmtId="169" formatCode="dd/mmm/yyyy"/>
      <fill>
        <patternFill patternType="solid">
          <fgColor indexed="64"/>
          <bgColor rgb="FFFFF2CC"/>
        </patternFill>
      </fill>
    </dxf>
    <dxf>
      <font>
        <name val="Aptos"/>
      </font>
      <numFmt numFmtId="169" formatCode="dd/mmm/yyyy"/>
      <fill>
        <patternFill patternType="solid">
          <fgColor indexed="64"/>
          <bgColor rgb="FFFFF2CC"/>
        </patternFill>
      </fill>
    </dxf>
    <dxf>
      <font>
        <name val="Aptos"/>
      </font>
      <numFmt numFmtId="1" formatCode="0"/>
      <fill>
        <patternFill patternType="solid">
          <fgColor indexed="64"/>
          <bgColor rgb="FFFFF2CC"/>
        </patternFill>
      </fill>
    </dxf>
    <dxf>
      <font>
        <name val="Aptos"/>
      </font>
      <numFmt numFmtId="14" formatCode="0.00%"/>
      <fill>
        <patternFill patternType="solid">
          <fgColor indexed="64"/>
          <bgColor rgb="FFFFF2CC"/>
        </patternFill>
      </fill>
    </dxf>
    <dxf>
      <font>
        <name val="Aptos"/>
      </font>
      <numFmt numFmtId="169" formatCode="dd/mmm/yyyy"/>
      <fill>
        <patternFill patternType="solid">
          <fgColor indexed="64"/>
          <bgColor rgb="FFFFF2CC"/>
        </patternFill>
      </fill>
    </dxf>
    <dxf>
      <font>
        <name val="Aptos"/>
      </font>
      <numFmt numFmtId="170" formatCode="\₹###,##0.00"/>
      <fill>
        <patternFill patternType="solid">
          <fgColor indexed="64"/>
          <bgColor rgb="FFFFF2CC"/>
        </patternFill>
      </fill>
    </dxf>
    <dxf>
      <font>
        <name val="Aptos"/>
      </font>
      <numFmt numFmtId="3" formatCode="#,##0"/>
      <fill>
        <patternFill patternType="solid">
          <fgColor indexed="64"/>
          <bgColor rgb="FFFFF2CC"/>
        </patternFill>
      </fill>
    </dxf>
    <dxf>
      <font>
        <name val="Aptos"/>
      </font>
      <numFmt numFmtId="170" formatCode="\₹###,##0.00"/>
      <fill>
        <patternFill patternType="solid">
          <fgColor indexed="64"/>
          <bgColor rgb="FFFFF2CC"/>
        </patternFill>
      </fill>
    </dxf>
    <dxf>
      <font>
        <name val="Aptos"/>
      </font>
      <fill>
        <patternFill patternType="solid">
          <fgColor indexed="64"/>
          <bgColor rgb="FFFFF2CC"/>
        </patternFill>
      </fill>
    </dxf>
    <dxf>
      <font>
        <name val="Aptos"/>
      </font>
      <fill>
        <patternFill patternType="solid">
          <fgColor indexed="64"/>
          <bgColor rgb="FFFFF2CC"/>
        </patternFill>
      </fill>
    </dxf>
    <dxf>
      <font>
        <name val="Aptos"/>
      </font>
      <fill>
        <patternFill patternType="solid">
          <fgColor indexed="64"/>
          <bgColor rgb="FFFFF2CC"/>
        </patternFill>
      </fill>
    </dxf>
    <dxf>
      <font>
        <b/>
        <color rgb="FFFFFFFF"/>
        <name val="Aptos"/>
      </font>
      <fill>
        <patternFill patternType="solid">
          <fgColor indexed="64"/>
          <bgColor rgb="FF4472C4"/>
        </patternFill>
      </fill>
      <alignment wrapText="1"/>
    </dxf>
    <dxf>
      <font>
        <name val="Aptos"/>
      </font>
    </dxf>
    <dxf>
      <font>
        <name val="Aptos"/>
      </font>
      <numFmt numFmtId="0" formatCode="General"/>
    </dxf>
    <dxf>
      <font>
        <name val="Aptos"/>
      </font>
      <numFmt numFmtId="166" formatCode="\₹###,##0.00;[Red]\-\₹###,##0.00"/>
    </dxf>
    <dxf>
      <font>
        <name val="Aptos"/>
      </font>
      <numFmt numFmtId="166" formatCode="\₹###,##0.00;[Red]\-\₹###,##0.00"/>
    </dxf>
    <dxf>
      <font>
        <name val="Aptos"/>
      </font>
      <numFmt numFmtId="166" formatCode="\₹###,##0.00;[Red]\-\₹###,##0.00"/>
    </dxf>
    <dxf>
      <font>
        <name val="Aptos"/>
      </font>
      <numFmt numFmtId="166" formatCode="\₹###,##0.00;[Red]\-\₹###,##0.00"/>
    </dxf>
    <dxf>
      <font>
        <name val="Aptos"/>
      </font>
      <numFmt numFmtId="166" formatCode="\₹###,##0.00;[Red]\-\₹###,##0.00"/>
    </dxf>
    <dxf>
      <font>
        <name val="Aptos"/>
      </font>
      <numFmt numFmtId="3" formatCode="#,##0"/>
    </dxf>
    <dxf>
      <font>
        <name val="Aptos"/>
      </font>
      <numFmt numFmtId="3" formatCode="#,##0"/>
      <fill>
        <patternFill patternType="solid">
          <fgColor indexed="64"/>
          <bgColor rgb="FFFFF2CC"/>
        </patternFill>
      </fill>
    </dxf>
    <dxf>
      <font>
        <name val="Aptos"/>
      </font>
      <numFmt numFmtId="14" formatCode="0.00%"/>
      <fill>
        <patternFill patternType="solid">
          <fgColor indexed="64"/>
          <bgColor rgb="FFFFF2CC"/>
        </patternFill>
      </fill>
    </dxf>
    <dxf>
      <font>
        <name val="Aptos"/>
      </font>
      <numFmt numFmtId="169" formatCode="dd/mmm/yyyy"/>
      <fill>
        <patternFill patternType="solid">
          <fgColor indexed="64"/>
          <bgColor rgb="FFFFF2CC"/>
        </patternFill>
      </fill>
    </dxf>
    <dxf>
      <font>
        <name val="Aptos"/>
      </font>
      <numFmt numFmtId="169" formatCode="dd/mmm/yyyy"/>
      <fill>
        <patternFill patternType="solid">
          <fgColor indexed="64"/>
          <bgColor rgb="FFFFF2CC"/>
        </patternFill>
      </fill>
    </dxf>
    <dxf>
      <font>
        <name val="Aptos"/>
      </font>
      <numFmt numFmtId="170" formatCode="\₹###,##0.00"/>
      <fill>
        <patternFill patternType="solid">
          <fgColor indexed="64"/>
          <bgColor rgb="FFFFF2CC"/>
        </patternFill>
      </fill>
    </dxf>
    <dxf>
      <font>
        <name val="Aptos"/>
      </font>
      <fill>
        <patternFill patternType="solid">
          <fgColor indexed="64"/>
          <bgColor rgb="FFFFF2CC"/>
        </patternFill>
      </fill>
    </dxf>
    <dxf>
      <font>
        <name val="Aptos"/>
      </font>
      <fill>
        <patternFill patternType="solid">
          <fgColor indexed="64"/>
          <bgColor rgb="FFFFF2CC"/>
        </patternFill>
      </fill>
    </dxf>
    <dxf>
      <font>
        <name val="Aptos"/>
      </font>
      <fill>
        <patternFill patternType="solid">
          <fgColor indexed="64"/>
          <bgColor rgb="FFFFF2CC"/>
        </patternFill>
      </fill>
    </dxf>
    <dxf>
      <font>
        <b/>
        <color rgb="FFFFFFFF"/>
        <name val="Aptos"/>
      </font>
      <fill>
        <patternFill patternType="solid">
          <fgColor indexed="64"/>
          <bgColor rgb="FF4472C4"/>
        </patternFill>
      </fill>
      <alignment wrapText="1"/>
    </dxf>
    <dxf>
      <font>
        <name val="Aptos"/>
      </font>
    </dxf>
    <dxf>
      <font>
        <name val="Aptos"/>
      </font>
      <numFmt numFmtId="0" formatCode="General"/>
    </dxf>
    <dxf>
      <font>
        <name val="Aptos"/>
      </font>
      <numFmt numFmtId="0" formatCode="General"/>
    </dxf>
    <dxf>
      <font>
        <name val="Aptos"/>
      </font>
      <numFmt numFmtId="166" formatCode="\₹###,##0.00;[Red]\-\₹###,##0.00"/>
    </dxf>
    <dxf>
      <font>
        <name val="Aptos"/>
      </font>
      <numFmt numFmtId="166" formatCode="\₹###,##0.00;[Red]\-\₹###,##0.00"/>
    </dxf>
    <dxf>
      <font>
        <name val="Aptos"/>
      </font>
      <numFmt numFmtId="166" formatCode="\₹###,##0.00;[Red]\-\₹###,##0.00"/>
    </dxf>
    <dxf>
      <font>
        <name val="Aptos"/>
      </font>
      <numFmt numFmtId="166" formatCode="\₹###,##0.00;[Red]\-\₹###,##0.00"/>
    </dxf>
    <dxf>
      <font>
        <name val="Aptos"/>
      </font>
      <numFmt numFmtId="3" formatCode="#,##0"/>
    </dxf>
    <dxf>
      <font>
        <name val="Aptos"/>
      </font>
      <numFmt numFmtId="3" formatCode="#,##0"/>
    </dxf>
    <dxf>
      <font>
        <name val="Aptos"/>
      </font>
      <numFmt numFmtId="14" formatCode="0.00%"/>
      <fill>
        <patternFill patternType="solid">
          <fgColor indexed="64"/>
          <bgColor rgb="FFFFF2CC"/>
        </patternFill>
      </fill>
    </dxf>
    <dxf>
      <font>
        <name val="Aptos"/>
      </font>
      <numFmt numFmtId="169" formatCode="dd/mmm/yyyy"/>
      <fill>
        <patternFill patternType="solid">
          <fgColor indexed="64"/>
          <bgColor rgb="FFFFF2CC"/>
        </patternFill>
      </fill>
    </dxf>
    <dxf>
      <font>
        <name val="Aptos"/>
      </font>
      <numFmt numFmtId="169" formatCode="dd/mmm/yyyy"/>
      <fill>
        <patternFill patternType="solid">
          <fgColor indexed="64"/>
          <bgColor rgb="FFFFF2CC"/>
        </patternFill>
      </fill>
    </dxf>
    <dxf>
      <font>
        <name val="Aptos"/>
      </font>
      <numFmt numFmtId="166" formatCode="\₹###,##0.00;[Red]\-\₹###,##0.00"/>
      <fill>
        <patternFill patternType="solid">
          <fgColor indexed="64"/>
          <bgColor rgb="FFFFF2CC"/>
        </patternFill>
      </fill>
    </dxf>
    <dxf>
      <font>
        <name val="Aptos"/>
      </font>
      <fill>
        <patternFill patternType="solid">
          <fgColor indexed="64"/>
          <bgColor rgb="FFFFF2CC"/>
        </patternFill>
      </fill>
    </dxf>
    <dxf>
      <font>
        <name val="Aptos"/>
      </font>
      <fill>
        <patternFill patternType="solid">
          <fgColor indexed="64"/>
          <bgColor rgb="FFFFF2CC"/>
        </patternFill>
      </fill>
    </dxf>
    <dxf>
      <font>
        <name val="Aptos"/>
      </font>
      <fill>
        <patternFill patternType="solid">
          <fgColor indexed="64"/>
          <bgColor rgb="FFFFF2CC"/>
        </patternFill>
      </fill>
    </dxf>
    <dxf>
      <font>
        <name val="Aptos"/>
      </font>
      <fill>
        <patternFill patternType="solid">
          <fgColor indexed="64"/>
          <bgColor rgb="FFFFF2CC"/>
        </patternFill>
      </fill>
    </dxf>
    <dxf>
      <font>
        <b/>
        <color rgb="FFFFFFFF"/>
        <name val="Aptos"/>
      </font>
      <fill>
        <patternFill patternType="solid">
          <fgColor indexed="64"/>
          <bgColor rgb="FF4472C4"/>
        </patternFill>
      </fill>
      <alignment wrapText="1"/>
    </dxf>
    <dxf>
      <font>
        <name val="Aptos"/>
      </font>
    </dxf>
    <dxf>
      <font>
        <name val="Aptos"/>
      </font>
      <numFmt numFmtId="166" formatCode="\₹###,##0.00;[Red]\-\₹###,##0.00"/>
    </dxf>
    <dxf>
      <font>
        <name val="Aptos"/>
      </font>
      <numFmt numFmtId="166" formatCode="\₹###,##0.00;[Red]\-\₹###,##0.00"/>
    </dxf>
    <dxf>
      <font>
        <name val="Aptos"/>
      </font>
      <numFmt numFmtId="3" formatCode="#,##0"/>
    </dxf>
    <dxf>
      <font>
        <name val="Aptos"/>
      </font>
      <numFmt numFmtId="166" formatCode="\₹###,##0.00;[Red]\-\₹###,##0.00"/>
    </dxf>
    <dxf>
      <font>
        <name val="Aptos"/>
      </font>
      <numFmt numFmtId="166" formatCode="\₹###,##0.00;[Red]\-\₹###,##0.00"/>
    </dxf>
    <dxf>
      <font>
        <name val="Aptos"/>
      </font>
      <numFmt numFmtId="166" formatCode="\₹###,##0.00;[Red]\-\₹###,##0.00"/>
    </dxf>
    <dxf>
      <font>
        <name val="Aptos"/>
      </font>
      <alignment wrapText="1"/>
    </dxf>
    <dxf>
      <font>
        <b/>
        <color rgb="FFFFFFFF"/>
        <name val="Aptos"/>
      </font>
      <fill>
        <patternFill patternType="solid">
          <fgColor indexed="64"/>
          <bgColor rgb="FF4472C4"/>
        </patternFill>
      </fill>
      <alignment wrapText="1"/>
    </dxf>
    <dxf>
      <font>
        <name val="Aptos"/>
      </font>
    </dxf>
    <dxf>
      <font>
        <name val="Aptos"/>
      </font>
    </dxf>
    <dxf>
      <font>
        <name val="Aptos"/>
      </font>
    </dxf>
    <dxf>
      <font>
        <name val="Aptos"/>
      </font>
      <numFmt numFmtId="166" formatCode="\₹###,##0.00;[Red]\-\₹###,##0.00"/>
    </dxf>
    <dxf>
      <font>
        <name val="Aptos"/>
      </font>
      <numFmt numFmtId="166" formatCode="\₹###,##0.00;[Red]\-\₹###,##0.00"/>
    </dxf>
    <dxf>
      <font>
        <name val="Aptos"/>
      </font>
      <numFmt numFmtId="3" formatCode="#,##0"/>
    </dxf>
    <dxf>
      <font>
        <name val="Aptos"/>
      </font>
      <numFmt numFmtId="166" formatCode="\₹###,##0.00;[Red]\-\₹###,##0.00"/>
    </dxf>
    <dxf>
      <font>
        <name val="Aptos"/>
      </font>
      <numFmt numFmtId="166" formatCode="\₹###,##0.00;[Red]\-\₹###,##0.00"/>
    </dxf>
    <dxf>
      <font>
        <name val="Aptos"/>
      </font>
      <numFmt numFmtId="166" formatCode="\₹###,##0.00;[Red]\-\₹###,##0.00"/>
    </dxf>
    <dxf>
      <font>
        <name val="Aptos"/>
      </font>
      <alignment wrapText="1"/>
    </dxf>
    <dxf>
      <font>
        <b/>
        <color rgb="FFFFFFFF"/>
        <name val="Aptos"/>
      </font>
      <fill>
        <patternFill patternType="solid">
          <fgColor indexed="64"/>
          <bgColor rgb="FF4472C4"/>
        </patternFill>
      </fill>
      <alignment wrapText="1"/>
    </dxf>
    <dxf>
      <font>
        <name val="Aptos"/>
      </font>
    </dxf>
    <dxf>
      <font>
        <name val="Aptos"/>
      </font>
    </dxf>
    <dxf>
      <font>
        <name val="Aptos"/>
      </font>
    </dxf>
    <dxf>
      <font>
        <name val="Aptos"/>
      </font>
      <alignment horizontal="left" wrapText="1"/>
    </dxf>
    <dxf>
      <font>
        <b/>
        <color rgb="FFFFFFFF"/>
        <name val="Aptos"/>
      </font>
      <fill>
        <patternFill patternType="solid">
          <fgColor indexed="64"/>
          <bgColor rgb="FF4472C4"/>
        </patternFill>
      </fill>
      <alignment horizontal="center" wrapText="1"/>
    </dxf>
    <dxf>
      <font>
        <name val="Aptos"/>
      </font>
    </dxf>
    <dxf>
      <font>
        <name val="Aptos"/>
      </font>
    </dxf>
    <dxf>
      <font>
        <name val="Aptos"/>
      </font>
      <numFmt numFmtId="166" formatCode="\₹###,##0.00;[Red]\-\₹###,##0.00"/>
      <alignment horizontal="right"/>
    </dxf>
    <dxf>
      <font>
        <name val="Aptos"/>
      </font>
      <numFmt numFmtId="168" formatCode="0.00%;[Red]\-0.00%"/>
      <alignment horizontal="right"/>
    </dxf>
    <dxf>
      <font>
        <name val="Aptos"/>
      </font>
      <numFmt numFmtId="166" formatCode="\₹###,##0.00;[Red]\-\₹###,##0.00"/>
      <alignment horizontal="right"/>
    </dxf>
    <dxf>
      <font>
        <name val="Aptos"/>
      </font>
      <numFmt numFmtId="168" formatCode="0.00%;[Red]\-0.00%"/>
      <alignment horizontal="right"/>
    </dxf>
    <dxf>
      <font>
        <name val="Aptos"/>
      </font>
      <numFmt numFmtId="166" formatCode="\₹###,##0.00;[Red]\-\₹###,##0.00"/>
      <alignment horizontal="right"/>
    </dxf>
    <dxf>
      <font>
        <name val="Aptos"/>
      </font>
      <numFmt numFmtId="166" formatCode="\₹###,##0.00;[Red]\-\₹###,##0.00"/>
      <alignment horizontal="right"/>
    </dxf>
    <dxf>
      <font>
        <name val="Aptos"/>
      </font>
      <numFmt numFmtId="3" formatCode="#,##0"/>
      <alignment horizontal="right"/>
    </dxf>
    <dxf>
      <font>
        <name val="Aptos"/>
      </font>
      <numFmt numFmtId="166" formatCode="\₹###,##0.00;[Red]\-\₹###,##0.00"/>
      <alignment horizontal="right"/>
    </dxf>
    <dxf>
      <font>
        <name val="Aptos"/>
      </font>
      <alignment horizontal="left"/>
    </dxf>
    <dxf>
      <font>
        <name val="Aptos"/>
      </font>
      <alignment horizontal="left" wrapText="1"/>
    </dxf>
    <dxf>
      <font>
        <b/>
        <color rgb="FFFFFFFF"/>
        <name val="Aptos"/>
      </font>
      <fill>
        <patternFill patternType="solid">
          <fgColor indexed="64"/>
          <bgColor rgb="FF4472C4"/>
        </patternFill>
      </fill>
      <alignment horizontal="center" wrapText="1"/>
    </dxf>
    <dxf>
      <font>
        <name val="Aptos"/>
      </font>
    </dxf>
    <dxf>
      <font>
        <name val="Aptos"/>
      </font>
    </dxf>
    <dxf>
      <font>
        <name val="Aptos"/>
      </font>
      <numFmt numFmtId="166" formatCode="\₹###,##0.00;[Red]\-\₹###,##0.00"/>
      <alignment horizontal="right"/>
    </dxf>
    <dxf>
      <font>
        <name val="Aptos"/>
      </font>
      <numFmt numFmtId="168" formatCode="0.00%;[Red]\-0.00%"/>
      <alignment horizontal="right"/>
    </dxf>
    <dxf>
      <font>
        <name val="Aptos"/>
      </font>
      <numFmt numFmtId="166" formatCode="\₹###,##0.00;[Red]\-\₹###,##0.00"/>
      <alignment horizontal="right"/>
    </dxf>
    <dxf>
      <font>
        <name val="Aptos"/>
      </font>
      <numFmt numFmtId="168" formatCode="0.00%;[Red]\-0.00%"/>
      <alignment horizontal="right"/>
    </dxf>
    <dxf>
      <font>
        <name val="Aptos"/>
      </font>
      <numFmt numFmtId="166" formatCode="\₹###,##0.00;[Red]\-\₹###,##0.00"/>
      <alignment horizontal="right"/>
    </dxf>
    <dxf>
      <font>
        <name val="Aptos"/>
      </font>
      <numFmt numFmtId="166" formatCode="\₹###,##0.00;[Red]\-\₹###,##0.00"/>
      <alignment horizontal="right"/>
    </dxf>
    <dxf>
      <font>
        <name val="Aptos"/>
      </font>
      <numFmt numFmtId="3" formatCode="#,##0"/>
      <alignment horizontal="right"/>
    </dxf>
    <dxf>
      <font>
        <name val="Aptos"/>
      </font>
      <numFmt numFmtId="166" formatCode="\₹###,##0.00;[Red]\-\₹###,##0.00"/>
      <alignment horizontal="right"/>
    </dxf>
    <dxf>
      <font>
        <name val="Aptos"/>
      </font>
      <alignment horizontal="left"/>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s>
  <tableStyles count="4">
    <tableStyle name="Velan-style" pivot="0" count="4" xr9:uid="{00000000-0011-0000-FFFF-FFFF00000000}">
      <tableStyleElement type="wholeTable" size="0" dxfId="187"/>
      <tableStyleElement type="headerRow" dxfId="190"/>
      <tableStyleElement type="firstRowStripe" dxfId="189"/>
      <tableStyleElement type="secondRowStripe" dxfId="188"/>
    </tableStyle>
    <tableStyle name="Pavi-style" pivot="0" count="4" xr9:uid="{00000000-0011-0000-FFFF-FFFF01000000}">
      <tableStyleElement type="wholeTable" size="0" dxfId="183"/>
      <tableStyleElement type="headerRow" dxfId="186"/>
      <tableStyleElement type="firstRowStripe" dxfId="185"/>
      <tableStyleElement type="secondRowStripe" dxfId="184"/>
    </tableStyle>
    <tableStyle name="VelanMF-style" pivot="0" count="3" xr9:uid="{00000000-0011-0000-FFFF-FFFF02000000}">
      <tableStyleElement type="headerRow" dxfId="182"/>
      <tableStyleElement type="firstRowStripe" dxfId="181"/>
      <tableStyleElement type="secondRowStripe" dxfId="180"/>
    </tableStyle>
    <tableStyle name="PaviMF-style" pivot="0" count="3" xr9:uid="{00000000-0011-0000-FFFF-FFFF03000000}">
      <tableStyleElement type="headerRow" dxfId="179"/>
      <tableStyleElement type="firstRowStripe" dxfId="178"/>
      <tableStyleElement type="secondRowStripe" dxfId="17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elanPortfolio" displayName="VelanPortfolio" ref="A4:J21" headerRowDxfId="165" dataDxfId="166" totalsRowDxfId="167">
  <tableColumns count="10">
    <tableColumn id="1" xr3:uid="{00000000-0010-0000-0000-000001000000}" name="Symbol" dataDxfId="176"/>
    <tableColumn id="2" xr3:uid="{00000000-0010-0000-0000-000002000000}" name="Name" dataDxfId="164"/>
    <tableColumn id="3" xr3:uid="{00000000-0010-0000-0000-000003000000}" name="Buy Price" dataDxfId="175"/>
    <tableColumn id="4" xr3:uid="{00000000-0010-0000-0000-000004000000}" name="Quantity" dataDxfId="174"/>
    <tableColumn id="5" xr3:uid="{00000000-0010-0000-0000-000005000000}" name="Previous Close" dataDxfId="173"/>
    <tableColumn id="6" xr3:uid="{00000000-0010-0000-0000-000006000000}" name="CMP" dataDxfId="172"/>
    <tableColumn id="7" xr3:uid="{00000000-0010-0000-0000-000007000000}" name="PL (Today) %" dataDxfId="171">
      <calculatedColumnFormula>IFERROR((VelanPortfolio[[#This Row],[CMP]]-VelanPortfolio[[#This Row],[Previous Close]])/VelanPortfolio[[#This Row],[Previous Close]],"")</calculatedColumnFormula>
    </tableColumn>
    <tableColumn id="8" xr3:uid="{00000000-0010-0000-0000-000008000000}" name="PL (Today)" dataDxfId="170">
      <calculatedColumnFormula>IF(OR(VelanPortfolio[[#This Row],[CMP]]="",VelanPortfolio[[#This Row],[Previous Close]]="",VelanPortfolio[[#This Row],[Quantity]]=""),"",(VelanPortfolio[[#This Row],[CMP]]-VelanPortfolio[[#This Row],[Previous Close]])*VelanPortfolio[[#This Row],[Quantity]])</calculatedColumnFormula>
    </tableColumn>
    <tableColumn id="9" xr3:uid="{A93D719A-6B8E-4E21-B97C-BB2B408FC4EF}" name="PL (Total) %" dataDxfId="169">
      <calculatedColumnFormula>IFERROR((VelanPortfolio[[#This Row],[CMP]]-VelanPortfolio[[#This Row],[Buy Price]])/VelanPortfolio[[#This Row],[Buy Price]],"")</calculatedColumnFormula>
    </tableColumn>
    <tableColumn id="10" xr3:uid="{E80B12EA-D0B9-4C51-848D-B8A3E8AA9235}" name="PL (Total)" dataDxfId="168">
      <calculatedColumnFormula>IF(OR(VelanPortfolio[[#This Row],[CMP]]="",VelanPortfolio[[#This Row],[Buy Price]]="",VelanPortfolio[[#This Row],[Quantity]]=""),"",(VelanPortfolio[[#This Row],[CMP]]-VelanPortfolio[[#This Row],[Buy Price]])*VelanPortfolio[[#This Row],[Quantity]])</calculatedColumnFormula>
    </tableColumn>
  </tableColumns>
  <tableStyleInfo name="TableStyleMedium2"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aviPortfolio" displayName="PaviPortfolio" ref="A4:J23" headerRowDxfId="152" dataDxfId="153" totalsRowDxfId="154">
  <tableColumns count="10">
    <tableColumn id="1" xr3:uid="{00000000-0010-0000-0100-000001000000}" name="Symbol" dataDxfId="163"/>
    <tableColumn id="2" xr3:uid="{00000000-0010-0000-0100-000002000000}" name="Name" dataDxfId="151"/>
    <tableColumn id="3" xr3:uid="{00000000-0010-0000-0100-000003000000}" name="Buy Price" dataDxfId="162"/>
    <tableColumn id="4" xr3:uid="{00000000-0010-0000-0100-000004000000}" name="Quantity" dataDxfId="161"/>
    <tableColumn id="5" xr3:uid="{00000000-0010-0000-0100-000005000000}" name="Previous Close" dataDxfId="160"/>
    <tableColumn id="6" xr3:uid="{00000000-0010-0000-0100-000006000000}" name="CMP" dataDxfId="159"/>
    <tableColumn id="7" xr3:uid="{00000000-0010-0000-0100-000007000000}" name="PL (Today) %" dataDxfId="158">
      <calculatedColumnFormula>IFERROR((PaviPortfolio[[#This Row],[CMP]]-PaviPortfolio[[#This Row],[Previous Close]])/PaviPortfolio[[#This Row],[Previous Close]],"")</calculatedColumnFormula>
    </tableColumn>
    <tableColumn id="8" xr3:uid="{00000000-0010-0000-0100-000008000000}" name="PL (Today)" dataDxfId="157">
      <calculatedColumnFormula>IF(OR(PaviPortfolio[[#This Row],[CMP]]="",PaviPortfolio[[#This Row],[Previous Close]]="",PaviPortfolio[[#This Row],[Quantity]]=""),"",(PaviPortfolio[[#This Row],[CMP]]-PaviPortfolio[[#This Row],[Previous Close]])*PaviPortfolio[[#This Row],[Quantity]])</calculatedColumnFormula>
    </tableColumn>
    <tableColumn id="9" xr3:uid="{150159A5-8E68-4707-B9CF-21B2A990B6ED}" name="PL (Total) %" dataDxfId="156">
      <calculatedColumnFormula>IFERROR((PaviPortfolio[[#This Row],[CMP]]-PaviPortfolio[[#This Row],[Buy Price]])/PaviPortfolio[[#This Row],[Buy Price]],"")</calculatedColumnFormula>
    </tableColumn>
    <tableColumn id="10" xr3:uid="{162CEAF2-258C-40AD-821B-16B0A134C776}" name="PL (Total)" dataDxfId="155">
      <calculatedColumnFormula>IF(OR(PaviPortfolio[[#This Row],[CMP]]="",PaviPortfolio[[#This Row],[Buy Price]]="",PaviPortfolio[[#This Row],[Quantity]]=""),"",(PaviPortfolio[[#This Row],[CMP]]-PaviPortfolio[[#This Row],[Buy Price]])*PaviPortfolio[[#This Row],[Quantity]])</calculatedColumnFormula>
    </tableColumn>
  </tableColumns>
  <tableStyleInfo name="TableStyleMedium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VelanMFPortfolio" displayName="VelanMFPortfolio" ref="A4:H6" headerRowDxfId="147" dataDxfId="148" totalsRowDxfId="149">
  <tableColumns count="8">
    <tableColumn id="1" xr3:uid="{00000000-0010-0000-0200-000001000000}" name="Symbol" dataDxfId="150"/>
    <tableColumn id="2" xr3:uid="{00000000-0010-0000-0200-000002000000}" name="Name" dataDxfId="146"/>
    <tableColumn id="3" xr3:uid="{00000000-0010-0000-0200-000003000000}" name="Buy Price" dataDxfId="145"/>
    <tableColumn id="4" xr3:uid="{00000000-0010-0000-0200-000004000000}" name="Previous Close" dataDxfId="144"/>
    <tableColumn id="5" xr3:uid="{00000000-0010-0000-0200-000005000000}" name="CMP" dataDxfId="143"/>
    <tableColumn id="6" xr3:uid="{00000000-0010-0000-0200-000006000000}" name="Quantity" dataDxfId="142"/>
    <tableColumn id="7" xr3:uid="{00000000-0010-0000-0200-000007000000}" name="PL (Today)" dataDxfId="141"/>
    <tableColumn id="8" xr3:uid="{00000000-0010-0000-0200-000008000000}" name="PL (Total)" dataDxfId="140"/>
  </tableColumns>
  <tableStyleInfo name="TableStyleMedium2"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aviMFPortfolio" displayName="PaviMFPortfolio" ref="A4:H5" headerRowDxfId="136" dataDxfId="137" totalsRowDxfId="138">
  <tableColumns count="8">
    <tableColumn id="1" xr3:uid="{00000000-0010-0000-0300-000001000000}" name="Symbol" dataDxfId="139"/>
    <tableColumn id="2" xr3:uid="{00000000-0010-0000-0300-000002000000}" name="Name" dataDxfId="135"/>
    <tableColumn id="3" xr3:uid="{00000000-0010-0000-0300-000003000000}" name="Buy Price" dataDxfId="134"/>
    <tableColumn id="4" xr3:uid="{00000000-0010-0000-0300-000004000000}" name="Previous Close" dataDxfId="133"/>
    <tableColumn id="5" xr3:uid="{00000000-0010-0000-0300-000005000000}" name="CMP" dataDxfId="132"/>
    <tableColumn id="6" xr3:uid="{00000000-0010-0000-0300-000006000000}" name="Quantity" dataDxfId="131"/>
    <tableColumn id="7" xr3:uid="{00000000-0010-0000-0300-000007000000}" name="PL (Today)" dataDxfId="130"/>
    <tableColumn id="8" xr3:uid="{00000000-0010-0000-0300-000008000000}" name="PL (Total)" dataDxfId="129"/>
  </tableColumns>
  <tableStyleInfo name="TableStyleMedium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D9599AB-C3AA-4739-9BCE-DC4ACAA20AF7}" name="FixedDeposits" displayName="FixedDeposits" ref="A4:O6" totalsRowShown="0" headerRowDxfId="127" dataDxfId="128">
  <autoFilter ref="A4:O6" xr:uid="{9D9599AB-C3AA-4739-9BCE-DC4ACAA20AF7}"/>
  <tableColumns count="15">
    <tableColumn id="1" xr3:uid="{8C1088D7-50B6-4FDE-98DD-1BF54CF85589}" name="Owner" dataDxfId="126"/>
    <tableColumn id="2" xr3:uid="{175CFFAD-A2D6-4B68-9975-A684AE166742}" name="Bank / Institution" dataDxfId="125"/>
    <tableColumn id="3" xr3:uid="{EB67B5E1-196C-4037-BDAC-BED470BC7C5D}" name="FD Number" dataDxfId="124"/>
    <tableColumn id="4" xr3:uid="{BB38760F-1579-466B-B4C8-78D70F1D6F8E}" name="Principal" dataDxfId="122"/>
    <tableColumn id="5" xr3:uid="{2FA1855B-CFE7-4A25-8296-C4F66DB604F2}" name="Start Date" dataDxfId="121"/>
    <tableColumn id="6" xr3:uid="{2F914054-F54A-4997-B290-DB383AA97B06}" name="Maturity Date" dataDxfId="120"/>
    <tableColumn id="7" xr3:uid="{1B65F92E-320D-4A6F-B859-86FF541147B8}" name="Interest Rate" dataDxfId="119"/>
    <tableColumn id="8" xr3:uid="{F6BC5431-151E-4090-A674-46B664758A7B}" name="Compounding Frequency" dataDxfId="123"/>
    <tableColumn id="9" xr3:uid="{71CFC124-8D80-4173-B78F-530D3D155D5E}" name="Periods / Year" dataDxfId="118">
      <calculatedColumnFormula>IF(H5="","",IF(H5="Simple",0,IF(H5="Monthly",12,IF(H5="Quarterly",4,IF(H5="Half-yearly",2,IF(H5="Annually",1,""))))))</calculatedColumnFormula>
    </tableColumn>
    <tableColumn id="10" xr3:uid="{08993E91-B60D-4726-A9E1-563E6EAD13B6}" name="Tenure (Days)" dataDxfId="117">
      <calculatedColumnFormula>IF(OR(E5="",F5=""),"",MAX(0,F5-E5))</calculatedColumnFormula>
    </tableColumn>
    <tableColumn id="11" xr3:uid="{3CDB32E1-74C4-4957-B1D6-705BE69364B2}" name="Maturity Value" dataDxfId="116">
      <calculatedColumnFormula>IF(OR(D5="",G5="",J5="",I5=""),"",IF(I5=0,D5*(1+G5*J5/365),D5*(1+G5/I5)^(I5*J5/365)))</calculatedColumnFormula>
    </tableColumn>
    <tableColumn id="12" xr3:uid="{996B7F73-9F29-4BD6-9F7A-8979D3763C0E}" name="Accrued Value" dataDxfId="115">
      <calculatedColumnFormula>IF(OR(D5="",E5="",J5="",G5="",I5=""),"",IF(I5=0,D5*(1+G5*MIN(MAX(TODAY()-E5,0),J5)/365),D5*(1+G5/I5)^(I5*MIN(MAX(TODAY()-E5,0),J5)/365)))</calculatedColumnFormula>
    </tableColumn>
    <tableColumn id="13" xr3:uid="{E709847F-C5D3-49F7-8EC4-3428776A3F21}" name="Accrued Interest" dataDxfId="114">
      <calculatedColumnFormula>IF(L5="","",L5-D5)</calculatedColumnFormula>
    </tableColumn>
    <tableColumn id="14" xr3:uid="{C3F41EEC-7845-4745-9B14-8EE2F6A50345}" name="Today's Interest" dataDxfId="113">
      <calculatedColumnFormula>IF(OR(D5="",E5="",F5="",G5="",I5="",TODAY()&lt;E5,TODAY()&gt;F5),0,IF(I5=0,D5*G5/365,L5-D5*(1+G5/I5)^(I5*MAX(MIN(TODAY()-E5-1,J5),0)/365)))</calculatedColumnFormula>
    </tableColumn>
    <tableColumn id="15" xr3:uid="{AF27C677-868D-412F-95A3-9F83FA69171B}" name="Status" dataDxfId="112">
      <calculatedColumnFormula>IF(A5="","",IF(OR(E5="",F5=""),"Details Required",IF(TODAY()&lt;E5,"Upcoming",IF(TODAY()&gt;=F5,"Matured","Active"))))</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16A1438-B13F-493E-9C8F-07247D5EE17D}" name="RecurringDeposits" displayName="RecurringDeposits" ref="A4:O6" totalsRowShown="0" headerRowDxfId="109" dataDxfId="110">
  <autoFilter ref="A4:O6" xr:uid="{C16A1438-B13F-493E-9C8F-07247D5EE17D}"/>
  <tableColumns count="15">
    <tableColumn id="1" xr3:uid="{2116CD79-5990-4CA9-B218-ADFB9F72B799}" name="Owner" dataDxfId="108"/>
    <tableColumn id="2" xr3:uid="{7E025B5E-E65B-466D-AAD8-B5403B66C071}" name="Bank / Institution" dataDxfId="107"/>
    <tableColumn id="3" xr3:uid="{61E250D4-8C0B-4BDF-B5C4-372F8AA4273E}" name="RD Number" dataDxfId="106"/>
    <tableColumn id="4" xr3:uid="{12906942-5391-4304-898E-B0B72BD030C6}" name="Monthly Deposit" dataDxfId="105"/>
    <tableColumn id="5" xr3:uid="{C6B37D7D-D6D5-4232-8BC7-20188ECDEF70}" name="Start Date" dataDxfId="104"/>
    <tableColumn id="6" xr3:uid="{9A85A8B3-B56A-4B96-BC9C-5A9C852F2ABD}" name="Maturity Date" dataDxfId="103"/>
    <tableColumn id="7" xr3:uid="{BA4BD2DE-25D0-4D9A-8C26-E9A50279B57F}" name="Interest Rate" dataDxfId="102"/>
    <tableColumn id="8" xr3:uid="{4BDCAB92-B5D7-491F-93B1-78093D196707}" name="Deposit Day" dataDxfId="101"/>
    <tableColumn id="9" xr3:uid="{D61AC1DA-3838-4805-9050-4680F6427C81}" name="Tenure (Months)" dataDxfId="100">
      <calculatedColumnFormula>IF(OR(E5="",F5=""),"",MAX(0,DATEDIF(E5,F5,"m")))</calculatedColumnFormula>
    </tableColumn>
    <tableColumn id="10" xr3:uid="{5C61EC86-2F42-4CA4-88C6-65F85399F9FB}" name="Deposited to Date" dataDxfId="99">
      <calculatedColumnFormula>IF(OR(D5="",E5="",I5=""),"",D5*MIN(I5,MAX(0,DATEDIF(E5,MIN(TODAY(),F5),"m")+1)))</calculatedColumnFormula>
    </tableColumn>
    <tableColumn id="11" xr3:uid="{085BDB5C-94F5-4907-9AF5-FDDDA1BC96CD}" name="Total Scheduled Deposit" dataDxfId="98">
      <calculatedColumnFormula>IF(OR(D5="",I5=""),"",D5*I5)</calculatedColumnFormula>
    </tableColumn>
    <tableColumn id="12" xr3:uid="{13E85E8F-C937-4B84-AE22-ADDE486C2D0E}" name="Accrued Value" dataDxfId="97">
      <calculatedColumnFormula>IF(OR(D5="",E5="",F5="",G5=""),"",_xlfn.LET(_xlpm.m,MIN(I5,MAX(0,DATEDIF(E5,MIN(TODAY(),F5),"m")+1)),_xlpm.rm,(1+G5/4)^(1/3)-1,IF(_xlpm.rm=0,D5*_xlpm.m,D5*((1+_xlpm.rm)^_xlpm.m-1)/_xlpm.rm)))</calculatedColumnFormula>
    </tableColumn>
    <tableColumn id="13" xr3:uid="{B2D51AC2-4C90-46D1-BD61-871EBD0DA0C3}" name="Maturity Value" dataDxfId="96">
      <calculatedColumnFormula>IF(OR(D5="",I5="",G5=""),"",_xlfn.LET(_xlpm.rm,(1+G5/4)^(1/3)-1,IF(_xlpm.rm=0,D5*I5,D5*((1+_xlpm.rm)^I5-1)/_xlpm.rm)))</calculatedColumnFormula>
    </tableColumn>
    <tableColumn id="14" xr3:uid="{4C6C3CCE-560F-41CE-8B41-F1F87410AAF2}" name="Accrued Interest" dataDxfId="95">
      <calculatedColumnFormula>IF(OR(L5="",J5=""),"",L5-J5)</calculatedColumnFormula>
    </tableColumn>
    <tableColumn id="15" xr3:uid="{4718A694-DF47-49FA-AF27-CBA553BAEF0E}" name="Status" dataDxfId="111">
      <calculatedColumnFormula>IF(A5="","",IF(OR(E5="",F5=""),"Details Required",IF(TODAY()&lt;E5,"Upcoming",IF(TODAY()&gt;=F5,"Matured","Active"))))</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1A575B7-B379-4860-8926-6F16B26D83F9}" name="BondHoldings" displayName="BondHoldings" ref="A4:S6" totalsRowShown="0" headerRowDxfId="92" dataDxfId="93">
  <autoFilter ref="A4:S6" xr:uid="{51A575B7-B379-4860-8926-6F16B26D83F9}"/>
  <tableColumns count="19">
    <tableColumn id="1" xr3:uid="{E162D953-BB8F-4844-90F7-F9FE566B5FB9}" name="Owner" dataDxfId="91"/>
    <tableColumn id="2" xr3:uid="{C6DC2FB9-4129-4E40-B362-091B0A1AB481}" name="Issuer" dataDxfId="90"/>
    <tableColumn id="3" xr3:uid="{A15BE8AA-68E8-47CA-8400-507197711E3F}" name="ISIN / Bond ID" dataDxfId="89"/>
    <tableColumn id="4" xr3:uid="{0AFFE9A1-A043-4D23-8400-871F13209F36}" name="Face Value" dataDxfId="88"/>
    <tableColumn id="5" xr3:uid="{2E480D6C-CD5D-4C0C-973B-91DF07731484}" name="Quantity" dataDxfId="87"/>
    <tableColumn id="6" xr3:uid="{4F79EE26-41D9-4B4D-9906-D379FDB40B0E}" name="Purchase Price" dataDxfId="86"/>
    <tableColumn id="7" xr3:uid="{DB10665B-66EA-4E94-84EB-2D5CFA9A6CB7}" name="Purchase Date" dataDxfId="85"/>
    <tableColumn id="8" xr3:uid="{0E954DC3-A046-4550-B3AB-A5477315590B}" name="Coupon Rate" dataDxfId="84"/>
    <tableColumn id="9" xr3:uid="{AFCD3BFC-6A63-4A63-B745-D8CEE6F69EDA}" name="Coupon Frequency" dataDxfId="83"/>
    <tableColumn id="10" xr3:uid="{C3644F4F-D1DC-4BD2-B33C-7D7FCE688960}" name="Next Coupon Date" dataDxfId="82"/>
    <tableColumn id="11" xr3:uid="{FF52EABC-6B01-48ED-BB0B-8EF60C255948}" name="Maturity Date" dataDxfId="81"/>
    <tableColumn id="12" xr3:uid="{8051A4C8-360C-463E-B229-BB2367FDFA41}" name="Previous Close" dataDxfId="80"/>
    <tableColumn id="13" xr3:uid="{9289C5E5-DDE1-48D6-92DE-FDA0AA9A12CA}" name="Market Price" dataDxfId="79"/>
    <tableColumn id="14" xr3:uid="{C283EC93-D8F4-43D1-8D05-31564BFA271F}" name="Invested Value" dataDxfId="78">
      <calculatedColumnFormula>IF(OR(E5="",F5=""),"",E5*F5)</calculatedColumnFormula>
    </tableColumn>
    <tableColumn id="15" xr3:uid="{FED17E25-61A4-4B6F-887B-B5F9410F129B}" name="Current Value" dataDxfId="77">
      <calculatedColumnFormula>IF(OR(E5="",M5=""),"",E5*M5)</calculatedColumnFormula>
    </tableColumn>
    <tableColumn id="16" xr3:uid="{3F965275-2944-42BD-9417-04D55D368D66}" name="Accrued Coupon" dataDxfId="76">
      <calculatedColumnFormula>IF(OR(D5="",E5="",H5="",I5="",J5=""),"",D5*E5*H5*MAX(0,1-(J5-TODAY())/(365/I5)))</calculatedColumnFormula>
    </tableColumn>
    <tableColumn id="17" xr3:uid="{4E1B305B-624A-41DB-B3D6-A7CCC6F80E70}" name="PL (Today)" dataDxfId="75">
      <calculatedColumnFormula>IF(OR(E5="",L5="",M5=""),"",(M5-L5)*E5)</calculatedColumnFormula>
    </tableColumn>
    <tableColumn id="18" xr3:uid="{4F835C97-EA34-417B-99F0-785B79F95079}" name="PL (Total)" dataDxfId="74">
      <calculatedColumnFormula>IF(OR(N5="",O5=""),"",O5+IF(P5="",0,P5)-N5)</calculatedColumnFormula>
    </tableColumn>
    <tableColumn id="19" xr3:uid="{1D126001-3DB5-4640-B007-8B804F2C74A8}" name="Status" dataDxfId="94">
      <calculatedColumnFormula>IF(A5="","",IF(K5="","Details Required",IF(TODAY()&gt;=K5,"Matured","Active")))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sheetPr>
  <dimension ref="A1:H1000"/>
  <sheetViews>
    <sheetView topLeftCell="A12" workbookViewId="0">
      <selection activeCell="E11" sqref="E11"/>
    </sheetView>
  </sheetViews>
  <sheetFormatPr defaultColWidth="12.6328125" defaultRowHeight="15" customHeight="1" x14ac:dyDescent="0.25"/>
  <cols>
    <col min="1" max="1" width="36.36328125" customWidth="1"/>
    <col min="2" max="2" width="63.6328125" customWidth="1"/>
    <col min="3" max="8" width="8.1796875" customWidth="1"/>
    <col min="9" max="26" width="8.6328125" customWidth="1"/>
  </cols>
  <sheetData>
    <row r="1" spans="1:8" ht="30" customHeight="1" x14ac:dyDescent="0.55000000000000004">
      <c r="A1" s="6" t="s">
        <v>1</v>
      </c>
      <c r="B1" s="6"/>
      <c r="C1" s="6"/>
      <c r="D1" s="6"/>
      <c r="E1" s="6"/>
      <c r="F1" s="6"/>
      <c r="G1" s="6"/>
      <c r="H1" s="6"/>
    </row>
    <row r="2" spans="1:8" ht="22" customHeight="1" x14ac:dyDescent="0.3">
      <c r="A2" s="9" t="s">
        <v>159</v>
      </c>
      <c r="B2" s="9"/>
      <c r="C2" s="9"/>
      <c r="D2" s="9"/>
      <c r="E2" s="9"/>
      <c r="F2" s="9"/>
      <c r="G2" s="9"/>
      <c r="H2" s="9"/>
    </row>
    <row r="3" spans="1:8" ht="12" customHeight="1" x14ac:dyDescent="0.3">
      <c r="A3" s="7"/>
      <c r="B3" s="7"/>
      <c r="C3" s="7"/>
      <c r="D3" s="7"/>
      <c r="E3" s="7"/>
      <c r="F3" s="7"/>
      <c r="G3" s="7"/>
      <c r="H3" s="7"/>
    </row>
    <row r="4" spans="1:8" ht="12" customHeight="1" x14ac:dyDescent="0.3">
      <c r="A4" s="8" t="s">
        <v>2</v>
      </c>
      <c r="B4" s="8" t="s">
        <v>4</v>
      </c>
      <c r="C4" s="7"/>
      <c r="D4" s="7"/>
      <c r="E4" s="7"/>
      <c r="F4" s="7"/>
      <c r="G4" s="7"/>
      <c r="H4" s="7"/>
    </row>
    <row r="5" spans="1:8" ht="23" customHeight="1" x14ac:dyDescent="0.3">
      <c r="A5" s="10" t="s">
        <v>5</v>
      </c>
      <c r="B5" s="50" t="s">
        <v>160</v>
      </c>
      <c r="C5" s="7"/>
      <c r="D5" s="7"/>
      <c r="E5" s="7"/>
      <c r="F5" s="7"/>
      <c r="G5" s="7"/>
      <c r="H5" s="7"/>
    </row>
    <row r="6" spans="1:8" ht="23" customHeight="1" x14ac:dyDescent="0.3">
      <c r="A6" s="10" t="s">
        <v>8</v>
      </c>
      <c r="B6" s="50" t="s">
        <v>69</v>
      </c>
      <c r="C6" s="7"/>
      <c r="D6" s="7"/>
      <c r="E6" s="7"/>
      <c r="F6" s="7"/>
      <c r="G6" s="7"/>
      <c r="H6" s="7"/>
    </row>
    <row r="7" spans="1:8" ht="23" customHeight="1" x14ac:dyDescent="0.3">
      <c r="A7" s="10" t="s">
        <v>70</v>
      </c>
      <c r="B7" s="50" t="s">
        <v>71</v>
      </c>
      <c r="C7" s="7"/>
      <c r="D7" s="7"/>
      <c r="E7" s="7"/>
      <c r="F7" s="7"/>
      <c r="G7" s="7"/>
      <c r="H7" s="7"/>
    </row>
    <row r="8" spans="1:8" ht="23" customHeight="1" x14ac:dyDescent="0.3">
      <c r="A8" s="10" t="s">
        <v>10</v>
      </c>
      <c r="B8" s="50" t="s">
        <v>72</v>
      </c>
      <c r="C8" s="7"/>
      <c r="D8" s="7"/>
      <c r="E8" s="7"/>
      <c r="F8" s="7"/>
      <c r="G8" s="7"/>
      <c r="H8" s="7"/>
    </row>
    <row r="9" spans="1:8" ht="23" customHeight="1" x14ac:dyDescent="0.3">
      <c r="A9" s="10" t="s">
        <v>73</v>
      </c>
      <c r="B9" s="50" t="s">
        <v>74</v>
      </c>
      <c r="C9" s="7"/>
      <c r="D9" s="7"/>
      <c r="E9" s="7"/>
      <c r="F9" s="7"/>
      <c r="G9" s="7"/>
      <c r="H9" s="7"/>
    </row>
    <row r="10" spans="1:8" ht="23" customHeight="1" x14ac:dyDescent="0.3">
      <c r="A10" s="10" t="s">
        <v>125</v>
      </c>
      <c r="B10" s="50" t="s">
        <v>161</v>
      </c>
      <c r="C10" s="7"/>
      <c r="D10" s="7"/>
      <c r="E10" s="7"/>
      <c r="F10" s="7"/>
      <c r="G10" s="7"/>
      <c r="H10" s="7"/>
    </row>
    <row r="11" spans="1:8" ht="23" customHeight="1" x14ac:dyDescent="0.3">
      <c r="A11" s="10" t="s">
        <v>152</v>
      </c>
      <c r="B11" s="50" t="s">
        <v>162</v>
      </c>
      <c r="C11" s="7"/>
      <c r="D11" s="7"/>
      <c r="E11" s="7"/>
      <c r="F11" s="7"/>
      <c r="G11" s="7"/>
      <c r="H11" s="7"/>
    </row>
    <row r="12" spans="1:8" ht="45" customHeight="1" x14ac:dyDescent="0.3">
      <c r="A12" s="10" t="s">
        <v>153</v>
      </c>
      <c r="B12" s="50" t="s">
        <v>163</v>
      </c>
      <c r="C12" s="7"/>
      <c r="D12" s="7"/>
      <c r="E12" s="7"/>
      <c r="F12" s="7"/>
      <c r="G12" s="7"/>
      <c r="H12" s="7"/>
    </row>
    <row r="13" spans="1:8" ht="45" customHeight="1" x14ac:dyDescent="0.3">
      <c r="A13" s="10" t="s">
        <v>11</v>
      </c>
      <c r="B13" s="50" t="s">
        <v>12</v>
      </c>
      <c r="C13" s="7"/>
      <c r="D13" s="7"/>
      <c r="E13" s="7"/>
      <c r="F13" s="7"/>
      <c r="G13" s="7"/>
      <c r="H13" s="7"/>
    </row>
    <row r="14" spans="1:8" ht="12" customHeight="1" x14ac:dyDescent="0.3">
      <c r="A14" s="7"/>
      <c r="B14" s="7"/>
      <c r="C14" s="7"/>
      <c r="D14" s="7"/>
      <c r="E14" s="7"/>
      <c r="F14" s="7"/>
      <c r="G14" s="7"/>
      <c r="H14" s="7"/>
    </row>
    <row r="15" spans="1:8" ht="12" customHeight="1" x14ac:dyDescent="0.3">
      <c r="A15" s="12" t="s">
        <v>13</v>
      </c>
      <c r="B15" s="12"/>
      <c r="C15" s="12"/>
      <c r="D15" s="12"/>
      <c r="E15" s="12"/>
      <c r="F15" s="12"/>
      <c r="G15" s="12"/>
      <c r="H15" s="12"/>
    </row>
    <row r="16" spans="1:8" ht="12" customHeight="1" x14ac:dyDescent="0.25">
      <c r="A16" s="38" t="s">
        <v>164</v>
      </c>
      <c r="B16" s="38"/>
      <c r="C16" s="38"/>
      <c r="D16" s="38"/>
      <c r="E16" s="38"/>
      <c r="F16" s="38"/>
      <c r="G16" s="38"/>
      <c r="H16" s="38"/>
    </row>
    <row r="17" spans="1:8" ht="12" customHeight="1" x14ac:dyDescent="0.25">
      <c r="A17" s="38"/>
      <c r="B17" s="38"/>
      <c r="C17" s="38"/>
      <c r="D17" s="38"/>
      <c r="E17" s="38"/>
      <c r="F17" s="38"/>
      <c r="G17" s="38"/>
      <c r="H17" s="38"/>
    </row>
    <row r="18" spans="1:8" ht="12" customHeight="1" x14ac:dyDescent="0.25">
      <c r="A18" s="38"/>
      <c r="B18" s="38"/>
      <c r="C18" s="38"/>
      <c r="D18" s="38"/>
      <c r="E18" s="38"/>
      <c r="F18" s="38"/>
      <c r="G18" s="38"/>
      <c r="H18" s="38"/>
    </row>
    <row r="19" spans="1:8" ht="12" customHeight="1" x14ac:dyDescent="0.25">
      <c r="A19" s="38"/>
      <c r="B19" s="38"/>
      <c r="C19" s="38"/>
      <c r="D19" s="38"/>
      <c r="E19" s="38"/>
      <c r="F19" s="38"/>
      <c r="G19" s="38"/>
      <c r="H19" s="38"/>
    </row>
    <row r="20" spans="1:8" ht="12" customHeight="1" x14ac:dyDescent="0.25"/>
    <row r="21" spans="1:8" ht="12" customHeight="1" x14ac:dyDescent="0.25"/>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mergeCells count="4">
    <mergeCell ref="A1:H1"/>
    <mergeCell ref="A2:H2"/>
    <mergeCell ref="A15:H15"/>
    <mergeCell ref="A16:H19"/>
  </mergeCells>
  <pageMargins left="0.7" right="0.7" top="0.75" bottom="0.75" header="0" footer="0"/>
  <pageSetup orientation="landscape"/>
  <headerFooter>
    <oddHeader>&amp;L&amp;"Arial"&amp;9&amp;KA80000 CONFIDENTIAL&amp;1#_x000D_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I999"/>
  <sheetViews>
    <sheetView tabSelected="1" topLeftCell="A43" workbookViewId="0">
      <selection activeCell="D47" sqref="D47"/>
    </sheetView>
  </sheetViews>
  <sheetFormatPr defaultColWidth="12.6328125" defaultRowHeight="15" customHeight="1" x14ac:dyDescent="0.25"/>
  <cols>
    <col min="1" max="1" width="26.36328125" customWidth="1"/>
    <col min="2" max="2" width="13.08984375" customWidth="1"/>
    <col min="3" max="4" width="19.08984375" customWidth="1"/>
    <col min="5" max="6" width="18.1796875" customWidth="1"/>
    <col min="7" max="7" width="14.1796875" customWidth="1"/>
    <col min="8" max="8" width="14.90625" customWidth="1"/>
    <col min="9" max="9" width="17.26953125" customWidth="1"/>
    <col min="10" max="26" width="8.6328125" customWidth="1"/>
  </cols>
  <sheetData>
    <row r="1" spans="1:8" ht="30" customHeight="1" x14ac:dyDescent="0.55000000000000004">
      <c r="A1" s="6" t="s">
        <v>0</v>
      </c>
      <c r="B1" s="6"/>
      <c r="C1" s="6"/>
      <c r="D1" s="6"/>
      <c r="E1" s="6"/>
      <c r="F1" s="6"/>
      <c r="G1" s="6"/>
      <c r="H1" s="6"/>
    </row>
    <row r="2" spans="1:8" ht="22" customHeight="1" x14ac:dyDescent="0.3">
      <c r="A2" s="9" t="s">
        <v>151</v>
      </c>
      <c r="B2" s="9"/>
      <c r="C2" s="9"/>
      <c r="D2" s="9"/>
      <c r="E2" s="9"/>
      <c r="F2" s="9"/>
      <c r="G2" s="9"/>
      <c r="H2" s="9"/>
    </row>
    <row r="3" spans="1:8" ht="10" customHeight="1" x14ac:dyDescent="0.3">
      <c r="A3" s="7"/>
      <c r="B3" s="7"/>
      <c r="C3" s="7"/>
      <c r="D3" s="7"/>
      <c r="E3" s="7"/>
      <c r="F3" s="7"/>
      <c r="G3" s="7"/>
      <c r="H3" s="7"/>
    </row>
    <row r="4" spans="1:8" ht="24" customHeight="1" x14ac:dyDescent="0.3">
      <c r="A4" s="36" t="s">
        <v>3</v>
      </c>
      <c r="B4" s="36"/>
      <c r="C4" s="36" t="s">
        <v>6</v>
      </c>
      <c r="D4" s="36"/>
      <c r="E4" s="36" t="s">
        <v>7</v>
      </c>
      <c r="F4" s="36"/>
      <c r="G4" s="36" t="s">
        <v>9</v>
      </c>
      <c r="H4" s="36"/>
    </row>
    <row r="5" spans="1:8" ht="24" customHeight="1" x14ac:dyDescent="0.25">
      <c r="A5" s="49">
        <v>4630630.3910600003</v>
      </c>
      <c r="B5" s="49"/>
      <c r="C5" s="49">
        <v>4938532.5376996398</v>
      </c>
      <c r="D5" s="49"/>
      <c r="E5" s="49">
        <v>7622.2596200302196</v>
      </c>
      <c r="F5" s="49"/>
      <c r="G5" s="49">
        <v>307902.146639638</v>
      </c>
      <c r="H5" s="49"/>
    </row>
    <row r="6" spans="1:8" ht="24" customHeight="1" x14ac:dyDescent="0.25">
      <c r="A6" s="49"/>
      <c r="B6" s="49"/>
      <c r="C6" s="49"/>
      <c r="D6" s="49"/>
      <c r="E6" s="49"/>
      <c r="F6" s="49"/>
      <c r="G6" s="49"/>
      <c r="H6" s="49"/>
    </row>
    <row r="7" spans="1:8" ht="10" customHeight="1" x14ac:dyDescent="0.3">
      <c r="A7" s="7"/>
      <c r="B7" s="7"/>
      <c r="C7" s="7"/>
      <c r="D7" s="7"/>
      <c r="E7" s="7"/>
      <c r="F7" s="7"/>
      <c r="G7" s="7"/>
      <c r="H7" s="7"/>
    </row>
    <row r="8" spans="1:8" ht="24" customHeight="1" x14ac:dyDescent="0.4">
      <c r="A8" s="15" t="s">
        <v>57</v>
      </c>
      <c r="B8" s="15"/>
      <c r="C8" s="15"/>
      <c r="D8" s="15"/>
      <c r="E8" s="15"/>
      <c r="F8" s="15"/>
      <c r="G8" s="15"/>
      <c r="H8" s="15"/>
    </row>
    <row r="9" spans="1:8" ht="30" customHeight="1" x14ac:dyDescent="0.3">
      <c r="A9" s="27" t="s">
        <v>58</v>
      </c>
      <c r="B9" s="27" t="s">
        <v>30</v>
      </c>
      <c r="C9" s="27" t="s">
        <v>31</v>
      </c>
      <c r="D9" s="27" t="s">
        <v>6</v>
      </c>
      <c r="E9" s="27" t="s">
        <v>7</v>
      </c>
      <c r="F9" s="27" t="s">
        <v>9</v>
      </c>
      <c r="G9" s="27" t="s">
        <v>59</v>
      </c>
      <c r="H9" s="27" t="s">
        <v>60</v>
      </c>
    </row>
    <row r="10" spans="1:8" ht="21" customHeight="1" x14ac:dyDescent="0.3">
      <c r="A10" s="11" t="s">
        <v>61</v>
      </c>
      <c r="B10" s="39">
        <v>36</v>
      </c>
      <c r="C10" s="43">
        <v>3243663.43</v>
      </c>
      <c r="D10" s="43">
        <v>3471742.48</v>
      </c>
      <c r="E10" s="43">
        <v>7614.91</v>
      </c>
      <c r="F10" s="43">
        <v>228079.05</v>
      </c>
      <c r="G10" s="47">
        <v>7.0315263874341005E-2</v>
      </c>
      <c r="H10" s="47">
        <v>0.70047988201828604</v>
      </c>
    </row>
    <row r="11" spans="1:8" ht="21" customHeight="1" x14ac:dyDescent="0.3">
      <c r="A11" s="11" t="s">
        <v>62</v>
      </c>
      <c r="B11" s="39">
        <v>3</v>
      </c>
      <c r="C11" s="43">
        <v>1346966.9610599999</v>
      </c>
      <c r="D11" s="43">
        <v>1425473.733</v>
      </c>
      <c r="E11" s="43">
        <v>0</v>
      </c>
      <c r="F11" s="43">
        <v>78506.771940000006</v>
      </c>
      <c r="G11" s="47">
        <v>5.82841110506667E-2</v>
      </c>
      <c r="H11" s="47">
        <v>0.29088198523909098</v>
      </c>
    </row>
    <row r="12" spans="1:8" ht="21" customHeight="1" x14ac:dyDescent="0.3">
      <c r="A12" s="11" t="s">
        <v>125</v>
      </c>
      <c r="B12" s="39">
        <f t="shared" ref="B12:F14" si="0">B21+B26</f>
        <v>0</v>
      </c>
      <c r="C12" s="43">
        <f t="shared" si="0"/>
        <v>0</v>
      </c>
      <c r="D12" s="43">
        <f t="shared" ca="1" si="0"/>
        <v>0</v>
      </c>
      <c r="E12" s="43">
        <f t="shared" ca="1" si="0"/>
        <v>0</v>
      </c>
      <c r="F12" s="43">
        <f t="shared" ca="1" si="0"/>
        <v>0</v>
      </c>
      <c r="G12" s="47">
        <f ca="1">IFERROR(F12/C12,0)</f>
        <v>0</v>
      </c>
      <c r="H12" s="47">
        <f>IFERROR(C12/C15,0)</f>
        <v>0</v>
      </c>
    </row>
    <row r="13" spans="1:8" ht="21" customHeight="1" x14ac:dyDescent="0.3">
      <c r="A13" s="11" t="s">
        <v>152</v>
      </c>
      <c r="B13" s="39">
        <f t="shared" si="0"/>
        <v>1</v>
      </c>
      <c r="C13" s="43">
        <f t="shared" ca="1" si="0"/>
        <v>240000</v>
      </c>
      <c r="D13" s="43">
        <f t="shared" ca="1" si="0"/>
        <v>243306.0499159818</v>
      </c>
      <c r="E13" s="43">
        <f t="shared" si="0"/>
        <v>0</v>
      </c>
      <c r="F13" s="43">
        <f t="shared" ca="1" si="0"/>
        <v>3306.0499159817991</v>
      </c>
      <c r="G13" s="47">
        <f ca="1">IFERROR(F13/C13,0)</f>
        <v>1.3775207983257496E-2</v>
      </c>
      <c r="H13" s="47">
        <f ca="1">IFERROR(C13/C15,0)</f>
        <v>5.1828796455737305E-2</v>
      </c>
    </row>
    <row r="14" spans="1:8" ht="21" customHeight="1" x14ac:dyDescent="0.3">
      <c r="A14" s="11" t="s">
        <v>153</v>
      </c>
      <c r="B14" s="39">
        <f t="shared" si="0"/>
        <v>0</v>
      </c>
      <c r="C14" s="43">
        <f t="shared" si="0"/>
        <v>0</v>
      </c>
      <c r="D14" s="43">
        <f t="shared" ca="1" si="0"/>
        <v>0</v>
      </c>
      <c r="E14" s="43">
        <f t="shared" si="0"/>
        <v>0</v>
      </c>
      <c r="F14" s="43">
        <f t="shared" si="0"/>
        <v>0</v>
      </c>
      <c r="G14" s="47">
        <f>IFERROR(F14/C14,0)</f>
        <v>0</v>
      </c>
      <c r="H14" s="47">
        <f>IFERROR(C14/C15,0)</f>
        <v>0</v>
      </c>
    </row>
    <row r="15" spans="1:8" ht="21" customHeight="1" x14ac:dyDescent="0.3">
      <c r="A15" s="37" t="s">
        <v>41</v>
      </c>
      <c r="B15" s="40">
        <v>40</v>
      </c>
      <c r="C15" s="44">
        <v>4630630.3910600003</v>
      </c>
      <c r="D15" s="44">
        <v>4938532.5376996398</v>
      </c>
      <c r="E15" s="44">
        <v>7622.2596200302196</v>
      </c>
      <c r="F15" s="44">
        <v>307902.146639638</v>
      </c>
      <c r="G15" s="48">
        <v>6.6492490360293199E-2</v>
      </c>
      <c r="H15" s="48">
        <v>1</v>
      </c>
    </row>
    <row r="16" spans="1:8" ht="10" customHeight="1" x14ac:dyDescent="0.3">
      <c r="A16" s="7"/>
      <c r="B16" s="26"/>
      <c r="C16" s="29"/>
      <c r="D16" s="29"/>
      <c r="E16" s="29"/>
      <c r="F16" s="29"/>
      <c r="G16" s="7"/>
      <c r="H16" s="7"/>
    </row>
    <row r="17" spans="1:9" ht="24" customHeight="1" x14ac:dyDescent="0.4">
      <c r="A17" s="15" t="s">
        <v>63</v>
      </c>
      <c r="B17" s="41"/>
      <c r="C17" s="45"/>
      <c r="D17" s="45"/>
      <c r="E17" s="45"/>
      <c r="F17" s="45"/>
      <c r="G17" s="15"/>
      <c r="H17" s="15"/>
    </row>
    <row r="18" spans="1:9" ht="30" customHeight="1" x14ac:dyDescent="0.3">
      <c r="A18" s="27" t="s">
        <v>64</v>
      </c>
      <c r="B18" s="42" t="s">
        <v>30</v>
      </c>
      <c r="C18" s="46" t="s">
        <v>31</v>
      </c>
      <c r="D18" s="46" t="s">
        <v>6</v>
      </c>
      <c r="E18" s="46" t="s">
        <v>7</v>
      </c>
      <c r="F18" s="46" t="s">
        <v>9</v>
      </c>
      <c r="G18" s="27" t="s">
        <v>59</v>
      </c>
      <c r="H18" s="7"/>
    </row>
    <row r="19" spans="1:9" ht="21" customHeight="1" x14ac:dyDescent="0.3">
      <c r="A19" s="11" t="s">
        <v>65</v>
      </c>
      <c r="B19" s="39">
        <v>17</v>
      </c>
      <c r="C19" s="43">
        <v>1589655.13</v>
      </c>
      <c r="D19" s="43">
        <v>1741070.6</v>
      </c>
      <c r="E19" s="43">
        <v>2970.81</v>
      </c>
      <c r="F19" s="43">
        <v>151415.47</v>
      </c>
      <c r="G19" s="47">
        <v>9.5250515100000002E-2</v>
      </c>
      <c r="H19" s="7"/>
    </row>
    <row r="20" spans="1:9" ht="21" customHeight="1" x14ac:dyDescent="0.3">
      <c r="A20" s="11" t="s">
        <v>66</v>
      </c>
      <c r="B20" s="39">
        <v>2</v>
      </c>
      <c r="C20" s="43">
        <v>341982.94430999999</v>
      </c>
      <c r="D20" s="43">
        <v>390726.48450000002</v>
      </c>
      <c r="E20" s="43">
        <v>0</v>
      </c>
      <c r="F20" s="43">
        <v>48743.54019</v>
      </c>
      <c r="G20" s="47">
        <v>0.14253207949999999</v>
      </c>
      <c r="H20" s="7"/>
    </row>
    <row r="21" spans="1:9" ht="21" customHeight="1" x14ac:dyDescent="0.3">
      <c r="A21" s="11" t="s">
        <v>126</v>
      </c>
      <c r="B21" s="39">
        <f>COUNTIFS('Fixed Deposits'!A:A,"Velan",'Fixed Deposits'!D:D,"&gt;0")</f>
        <v>0</v>
      </c>
      <c r="C21" s="43">
        <f>SUMIFS('Fixed Deposits'!D:D,'Fixed Deposits'!A:A,"Velan")</f>
        <v>0</v>
      </c>
      <c r="D21" s="43">
        <f ca="1">SUMIFS('Fixed Deposits'!L:L,'Fixed Deposits'!A:A,"Velan")</f>
        <v>0</v>
      </c>
      <c r="E21" s="43">
        <f ca="1">SUMIFS('Fixed Deposits'!N:N,'Fixed Deposits'!A:A,"Velan")</f>
        <v>0</v>
      </c>
      <c r="F21" s="43">
        <f ca="1">SUMIFS('Fixed Deposits'!M:M,'Fixed Deposits'!A:A,"Velan")</f>
        <v>0</v>
      </c>
      <c r="G21" s="47">
        <f ca="1">IFERROR(F21/C21,0)</f>
        <v>0</v>
      </c>
      <c r="H21" s="7"/>
    </row>
    <row r="22" spans="1:9" ht="21" customHeight="1" x14ac:dyDescent="0.3">
      <c r="A22" s="11" t="s">
        <v>154</v>
      </c>
      <c r="B22" s="39">
        <f>COUNTIFS('Recurring Deposits'!A:A,"Velan",'Recurring Deposits'!D:D,"&gt;0")</f>
        <v>0</v>
      </c>
      <c r="C22" s="43">
        <f ca="1">SUMIFS('Recurring Deposits'!J:J,'Recurring Deposits'!A:A,"Velan")</f>
        <v>0</v>
      </c>
      <c r="D22" s="43">
        <f ca="1">SUMIFS('Recurring Deposits'!L:L,'Recurring Deposits'!A:A,"Velan")</f>
        <v>0</v>
      </c>
      <c r="E22" s="43">
        <f>0</f>
        <v>0</v>
      </c>
      <c r="F22" s="43">
        <f ca="1">SUMIFS('Recurring Deposits'!N:N,'Recurring Deposits'!A:A,"Velan")</f>
        <v>0</v>
      </c>
      <c r="G22" s="47">
        <f ca="1">IFERROR(F22/C22,0)</f>
        <v>0</v>
      </c>
      <c r="H22" s="7"/>
    </row>
    <row r="23" spans="1:9" ht="21" customHeight="1" x14ac:dyDescent="0.3">
      <c r="A23" s="11" t="s">
        <v>155</v>
      </c>
      <c r="B23" s="39">
        <f>COUNTIFS(Bonds!A:A,"Velan",Bonds!E:E,"&gt;0")</f>
        <v>0</v>
      </c>
      <c r="C23" s="43">
        <f>SUMIFS(Bonds!N:N,Bonds!A:A,"Velan")</f>
        <v>0</v>
      </c>
      <c r="D23" s="43">
        <f ca="1">SUMIFS(Bonds!O:O,Bonds!A:A,"Velan")+SUMIFS(Bonds!P:P,Bonds!A:A,"Velan")</f>
        <v>0</v>
      </c>
      <c r="E23" s="43">
        <f>SUMIFS(Bonds!Q:Q,Bonds!A:A,"Velan")</f>
        <v>0</v>
      </c>
      <c r="F23" s="43">
        <f>SUMIFS(Bonds!R:R,Bonds!A:A,"Velan")</f>
        <v>0</v>
      </c>
      <c r="G23" s="47">
        <f>IFERROR(F23/C23,0)</f>
        <v>0</v>
      </c>
      <c r="H23" s="7"/>
    </row>
    <row r="24" spans="1:9" ht="21" customHeight="1" x14ac:dyDescent="0.3">
      <c r="A24" s="11" t="s">
        <v>67</v>
      </c>
      <c r="B24" s="39">
        <v>19</v>
      </c>
      <c r="C24" s="43">
        <v>1654008.3</v>
      </c>
      <c r="D24" s="43">
        <v>1730671.88</v>
      </c>
      <c r="E24" s="43">
        <v>4644.1000000000004</v>
      </c>
      <c r="F24" s="43">
        <v>76663.58</v>
      </c>
      <c r="G24" s="47">
        <v>4.6350178499999999E-2</v>
      </c>
      <c r="H24" s="7"/>
    </row>
    <row r="25" spans="1:9" ht="21" customHeight="1" x14ac:dyDescent="0.3">
      <c r="A25" s="11" t="s">
        <v>68</v>
      </c>
      <c r="B25" s="39">
        <v>1</v>
      </c>
      <c r="C25" s="43">
        <v>1004984.01675</v>
      </c>
      <c r="D25" s="43">
        <v>1034747.2485</v>
      </c>
      <c r="E25" s="43">
        <v>0</v>
      </c>
      <c r="F25" s="43">
        <v>29763.231749999999</v>
      </c>
      <c r="G25" s="47">
        <v>2.9615626999999999E-2</v>
      </c>
      <c r="H25" s="7"/>
    </row>
    <row r="26" spans="1:9" ht="21" customHeight="1" x14ac:dyDescent="0.3">
      <c r="A26" s="11" t="s">
        <v>127</v>
      </c>
      <c r="B26" s="39">
        <f>COUNTIFS('Fixed Deposits'!A:A,"Pavi",'Fixed Deposits'!D:D,"&gt;0")</f>
        <v>0</v>
      </c>
      <c r="C26" s="43">
        <f>SUMIFS('Fixed Deposits'!D:D,'Fixed Deposits'!A:A,"Pavi")</f>
        <v>0</v>
      </c>
      <c r="D26" s="43">
        <f ca="1">SUMIFS('Fixed Deposits'!L:L,'Fixed Deposits'!A:A,"Pavi")</f>
        <v>0</v>
      </c>
      <c r="E26" s="43">
        <f ca="1">SUMIFS('Fixed Deposits'!N:N,'Fixed Deposits'!A:A,"Pavi")</f>
        <v>0</v>
      </c>
      <c r="F26" s="43">
        <f ca="1">SUMIFS('Fixed Deposits'!M:M,'Fixed Deposits'!A:A,"Pavi")</f>
        <v>0</v>
      </c>
      <c r="G26" s="47">
        <f ca="1">IFERROR(F26/C26,0)</f>
        <v>0</v>
      </c>
      <c r="H26" s="7"/>
    </row>
    <row r="27" spans="1:9" ht="21" customHeight="1" x14ac:dyDescent="0.3">
      <c r="A27" s="11" t="s">
        <v>156</v>
      </c>
      <c r="B27" s="39">
        <f>COUNTIFS('Recurring Deposits'!A:A,"Pavi",'Recurring Deposits'!D:D,"&gt;0")</f>
        <v>1</v>
      </c>
      <c r="C27" s="43">
        <f ca="1">SUMIFS('Recurring Deposits'!J:J,'Recurring Deposits'!A:A,"Pavi")</f>
        <v>240000</v>
      </c>
      <c r="D27" s="43">
        <f ca="1">SUMIFS('Recurring Deposits'!L:L,'Recurring Deposits'!A:A,"Pavi")</f>
        <v>243306.0499159818</v>
      </c>
      <c r="E27" s="43">
        <f>0</f>
        <v>0</v>
      </c>
      <c r="F27" s="43">
        <f ca="1">SUMIFS('Recurring Deposits'!N:N,'Recurring Deposits'!A:A,"Pavi")</f>
        <v>3306.0499159817991</v>
      </c>
      <c r="G27" s="47">
        <f ca="1">IFERROR(F27/C27,0)</f>
        <v>1.3775207983257496E-2</v>
      </c>
      <c r="H27" s="7"/>
    </row>
    <row r="28" spans="1:9" ht="21" customHeight="1" x14ac:dyDescent="0.3">
      <c r="A28" s="11" t="s">
        <v>157</v>
      </c>
      <c r="B28" s="39">
        <f>COUNTIFS(Bonds!A:A,"Pavi",Bonds!E:E,"&gt;0")</f>
        <v>0</v>
      </c>
      <c r="C28" s="43">
        <f>SUMIFS(Bonds!N:N,Bonds!A:A,"Pavi")</f>
        <v>0</v>
      </c>
      <c r="D28" s="43">
        <f ca="1">SUMIFS(Bonds!O:O,Bonds!A:A,"Pavi")+SUMIFS(Bonds!P:P,Bonds!A:A,"Pavi")</f>
        <v>0</v>
      </c>
      <c r="E28" s="43">
        <f>SUMIFS(Bonds!Q:Q,Bonds!A:A,"Pavi")</f>
        <v>0</v>
      </c>
      <c r="F28" s="43">
        <f>SUMIFS(Bonds!R:R,Bonds!A:A,"Pavi")</f>
        <v>0</v>
      </c>
      <c r="G28" s="47">
        <f>IFERROR(F28/C28,0)</f>
        <v>0</v>
      </c>
      <c r="H28" s="7"/>
    </row>
    <row r="29" spans="1:9" ht="10" customHeight="1" x14ac:dyDescent="0.3">
      <c r="A29" s="7"/>
      <c r="B29" s="7"/>
      <c r="C29" s="7"/>
      <c r="D29" s="7"/>
      <c r="E29" s="7"/>
      <c r="F29" s="7"/>
      <c r="G29" s="7"/>
      <c r="H29" s="7"/>
    </row>
    <row r="30" spans="1:9" ht="24" customHeight="1" x14ac:dyDescent="0.4">
      <c r="A30" s="15" t="s">
        <v>43</v>
      </c>
      <c r="B30" s="15"/>
      <c r="C30" s="15"/>
      <c r="D30" s="15"/>
      <c r="E30" s="15"/>
      <c r="F30" s="15"/>
      <c r="G30" s="15"/>
      <c r="H30" s="15"/>
    </row>
    <row r="31" spans="1:9" ht="22" customHeight="1" x14ac:dyDescent="0.25">
      <c r="A31" s="13" t="s">
        <v>158</v>
      </c>
      <c r="B31" s="13"/>
      <c r="C31" s="13"/>
      <c r="D31" s="13"/>
      <c r="E31" s="13"/>
      <c r="F31" s="13"/>
      <c r="G31" s="13"/>
      <c r="H31" s="13"/>
      <c r="I31" s="3"/>
    </row>
    <row r="32" spans="1:9" ht="22" customHeight="1" x14ac:dyDescent="0.25">
      <c r="A32" s="13"/>
      <c r="B32" s="13"/>
      <c r="C32" s="13"/>
      <c r="D32" s="13"/>
      <c r="E32" s="13"/>
      <c r="F32" s="13"/>
      <c r="G32" s="13"/>
      <c r="H32" s="13"/>
      <c r="I32" s="3"/>
    </row>
    <row r="33" spans="1:9" ht="22" customHeight="1" x14ac:dyDescent="0.25">
      <c r="A33" s="13"/>
      <c r="B33" s="13"/>
      <c r="C33" s="13"/>
      <c r="D33" s="13"/>
      <c r="E33" s="13"/>
      <c r="F33" s="13"/>
      <c r="G33" s="13"/>
      <c r="H33" s="13"/>
      <c r="I33" s="3"/>
    </row>
    <row r="34" spans="1:9" ht="12" customHeight="1" x14ac:dyDescent="0.25">
      <c r="I34" s="3"/>
    </row>
    <row r="35" spans="1:9" ht="12" customHeight="1" x14ac:dyDescent="0.25">
      <c r="I35" s="3"/>
    </row>
    <row r="36" spans="1:9" ht="12" customHeight="1" x14ac:dyDescent="0.25">
      <c r="I36" s="3"/>
    </row>
    <row r="37" spans="1:9" ht="12" customHeight="1" x14ac:dyDescent="0.25">
      <c r="I37" s="3"/>
    </row>
    <row r="38" spans="1:9" ht="12" customHeight="1" x14ac:dyDescent="0.25">
      <c r="I38" s="3"/>
    </row>
    <row r="39" spans="1:9" ht="12" customHeight="1" x14ac:dyDescent="0.25">
      <c r="I39" s="3"/>
    </row>
    <row r="40" spans="1:9" ht="12" customHeight="1" x14ac:dyDescent="0.25">
      <c r="I40" s="3"/>
    </row>
    <row r="41" spans="1:9" ht="12" customHeight="1" x14ac:dyDescent="0.25">
      <c r="D41" s="2"/>
      <c r="E41" s="2"/>
      <c r="F41" s="2"/>
      <c r="G41" s="1"/>
      <c r="H41" s="3"/>
      <c r="I41" s="3"/>
    </row>
    <row r="42" spans="1:9" ht="12" customHeight="1" x14ac:dyDescent="0.25">
      <c r="D42" s="2"/>
      <c r="E42" s="2"/>
      <c r="F42" s="2"/>
      <c r="G42" s="1"/>
      <c r="H42" s="3"/>
      <c r="I42" s="3"/>
    </row>
    <row r="43" spans="1:9" ht="12" customHeight="1" x14ac:dyDescent="0.25">
      <c r="D43" s="2"/>
      <c r="E43" s="2"/>
      <c r="F43" s="2"/>
      <c r="G43" s="1"/>
      <c r="H43" s="3"/>
      <c r="I43" s="3"/>
    </row>
    <row r="44" spans="1:9" ht="12" customHeight="1" x14ac:dyDescent="0.25">
      <c r="D44" s="2"/>
      <c r="E44" s="2"/>
      <c r="F44" s="2"/>
      <c r="G44" s="1"/>
      <c r="H44" s="3"/>
      <c r="I44" s="3"/>
    </row>
    <row r="45" spans="1:9" ht="12" customHeight="1" x14ac:dyDescent="0.25">
      <c r="D45" s="2"/>
      <c r="E45" s="2"/>
      <c r="F45" s="2"/>
      <c r="G45" s="1"/>
      <c r="H45" s="3"/>
      <c r="I45" s="3"/>
    </row>
    <row r="46" spans="1:9" ht="12" customHeight="1" x14ac:dyDescent="0.25">
      <c r="D46" s="2"/>
      <c r="E46" s="2"/>
      <c r="F46" s="2"/>
      <c r="G46" s="1"/>
      <c r="H46" s="3"/>
      <c r="I46" s="3"/>
    </row>
    <row r="47" spans="1:9" ht="12" customHeight="1" x14ac:dyDescent="0.25">
      <c r="D47" s="2"/>
      <c r="E47" s="2"/>
      <c r="F47" s="2"/>
      <c r="G47" s="1"/>
      <c r="H47" s="3"/>
      <c r="I47" s="3"/>
    </row>
    <row r="48" spans="1:9" ht="12" customHeight="1" x14ac:dyDescent="0.25">
      <c r="D48" s="2"/>
      <c r="E48" s="2"/>
      <c r="F48" s="2"/>
      <c r="G48" s="1"/>
      <c r="H48" s="3"/>
      <c r="I48" s="3"/>
    </row>
    <row r="49" spans="4:9" ht="12" customHeight="1" x14ac:dyDescent="0.25">
      <c r="D49" s="2"/>
      <c r="E49" s="2"/>
      <c r="F49" s="2"/>
      <c r="G49" s="1"/>
      <c r="H49" s="3"/>
      <c r="I49" s="3"/>
    </row>
    <row r="50" spans="4:9" ht="12" customHeight="1" x14ac:dyDescent="0.25">
      <c r="D50" s="2"/>
      <c r="E50" s="2"/>
      <c r="F50" s="2"/>
      <c r="G50" s="1"/>
      <c r="H50" s="3"/>
      <c r="I50" s="3"/>
    </row>
    <row r="51" spans="4:9" ht="12" customHeight="1" x14ac:dyDescent="0.25">
      <c r="D51" s="2"/>
      <c r="E51" s="2"/>
      <c r="F51" s="2"/>
      <c r="G51" s="1"/>
      <c r="H51" s="3"/>
      <c r="I51" s="3"/>
    </row>
    <row r="52" spans="4:9" ht="12" customHeight="1" x14ac:dyDescent="0.25">
      <c r="D52" s="2"/>
      <c r="E52" s="2"/>
      <c r="F52" s="2"/>
      <c r="G52" s="1"/>
      <c r="H52" s="3"/>
      <c r="I52" s="3"/>
    </row>
    <row r="53" spans="4:9" ht="12" customHeight="1" x14ac:dyDescent="0.25">
      <c r="D53" s="2"/>
      <c r="E53" s="2"/>
      <c r="F53" s="2"/>
      <c r="G53" s="1"/>
      <c r="H53" s="3"/>
      <c r="I53" s="3"/>
    </row>
    <row r="54" spans="4:9" ht="12" customHeight="1" x14ac:dyDescent="0.25">
      <c r="D54" s="2"/>
      <c r="E54" s="2"/>
      <c r="F54" s="2"/>
      <c r="G54" s="1"/>
      <c r="H54" s="3"/>
      <c r="I54" s="3"/>
    </row>
    <row r="55" spans="4:9" ht="12" customHeight="1" x14ac:dyDescent="0.25">
      <c r="D55" s="2"/>
      <c r="E55" s="2"/>
      <c r="F55" s="2"/>
      <c r="G55" s="1"/>
      <c r="H55" s="3"/>
      <c r="I55" s="3"/>
    </row>
    <row r="56" spans="4:9" ht="12" customHeight="1" x14ac:dyDescent="0.25">
      <c r="D56" s="2"/>
      <c r="E56" s="2"/>
      <c r="F56" s="2"/>
      <c r="G56" s="1"/>
      <c r="H56" s="3"/>
      <c r="I56" s="3"/>
    </row>
    <row r="57" spans="4:9" ht="12" customHeight="1" x14ac:dyDescent="0.25">
      <c r="D57" s="2"/>
      <c r="E57" s="2"/>
      <c r="F57" s="2"/>
      <c r="G57" s="1"/>
      <c r="H57" s="3"/>
      <c r="I57" s="3"/>
    </row>
    <row r="58" spans="4:9" ht="12" customHeight="1" x14ac:dyDescent="0.25">
      <c r="D58" s="2"/>
      <c r="E58" s="2"/>
      <c r="F58" s="2"/>
      <c r="G58" s="1"/>
      <c r="H58" s="3"/>
      <c r="I58" s="3"/>
    </row>
    <row r="59" spans="4:9" ht="12" customHeight="1" x14ac:dyDescent="0.25">
      <c r="D59" s="2"/>
      <c r="E59" s="2"/>
      <c r="F59" s="2"/>
      <c r="G59" s="1"/>
      <c r="H59" s="3"/>
      <c r="I59" s="3"/>
    </row>
    <row r="60" spans="4:9" ht="12" customHeight="1" x14ac:dyDescent="0.25">
      <c r="D60" s="2"/>
      <c r="E60" s="2"/>
      <c r="F60" s="2"/>
      <c r="G60" s="1"/>
      <c r="H60" s="3"/>
      <c r="I60" s="3"/>
    </row>
    <row r="61" spans="4:9" ht="12" customHeight="1" x14ac:dyDescent="0.25">
      <c r="D61" s="2"/>
      <c r="E61" s="2"/>
      <c r="F61" s="2"/>
      <c r="G61" s="1"/>
      <c r="H61" s="3"/>
      <c r="I61" s="3"/>
    </row>
    <row r="62" spans="4:9" ht="12" customHeight="1" x14ac:dyDescent="0.25">
      <c r="D62" s="2"/>
      <c r="E62" s="2"/>
      <c r="F62" s="2"/>
      <c r="G62" s="1"/>
      <c r="H62" s="3"/>
      <c r="I62" s="3"/>
    </row>
    <row r="63" spans="4:9" ht="12" customHeight="1" x14ac:dyDescent="0.25">
      <c r="D63" s="2"/>
      <c r="E63" s="2"/>
      <c r="F63" s="2"/>
      <c r="G63" s="1"/>
      <c r="H63" s="3"/>
      <c r="I63" s="3"/>
    </row>
    <row r="64" spans="4:9" ht="12" customHeight="1" x14ac:dyDescent="0.25">
      <c r="D64" s="2"/>
      <c r="E64" s="2"/>
      <c r="F64" s="2"/>
      <c r="G64" s="1"/>
      <c r="H64" s="3"/>
      <c r="I64" s="3"/>
    </row>
    <row r="65" spans="4:9" ht="12" customHeight="1" x14ac:dyDescent="0.25">
      <c r="D65" s="2"/>
      <c r="E65" s="2"/>
      <c r="F65" s="2"/>
      <c r="G65" s="1"/>
      <c r="H65" s="3"/>
      <c r="I65" s="3"/>
    </row>
    <row r="66" spans="4:9" ht="12" customHeight="1" x14ac:dyDescent="0.25">
      <c r="D66" s="2"/>
      <c r="E66" s="2"/>
      <c r="F66" s="2"/>
      <c r="G66" s="1"/>
      <c r="H66" s="3"/>
      <c r="I66" s="3"/>
    </row>
    <row r="67" spans="4:9" ht="12" customHeight="1" x14ac:dyDescent="0.25">
      <c r="D67" s="2"/>
      <c r="E67" s="2"/>
      <c r="F67" s="2"/>
      <c r="G67" s="1"/>
      <c r="H67" s="3"/>
      <c r="I67" s="3"/>
    </row>
    <row r="68" spans="4:9" ht="12" customHeight="1" x14ac:dyDescent="0.25">
      <c r="D68" s="2"/>
      <c r="E68" s="2"/>
      <c r="F68" s="2"/>
      <c r="G68" s="1"/>
      <c r="H68" s="3"/>
      <c r="I68" s="3"/>
    </row>
    <row r="69" spans="4:9" ht="12" customHeight="1" x14ac:dyDescent="0.25">
      <c r="D69" s="2"/>
      <c r="E69" s="2"/>
      <c r="F69" s="2"/>
      <c r="G69" s="1"/>
      <c r="H69" s="3"/>
      <c r="I69" s="3"/>
    </row>
    <row r="70" spans="4:9" ht="12" customHeight="1" x14ac:dyDescent="0.25">
      <c r="D70" s="2"/>
      <c r="E70" s="2"/>
      <c r="F70" s="2"/>
      <c r="G70" s="1"/>
      <c r="H70" s="3"/>
      <c r="I70" s="3"/>
    </row>
    <row r="71" spans="4:9" ht="12" customHeight="1" x14ac:dyDescent="0.25">
      <c r="D71" s="2"/>
      <c r="E71" s="2"/>
      <c r="F71" s="2"/>
      <c r="G71" s="1"/>
      <c r="H71" s="3"/>
      <c r="I71" s="3"/>
    </row>
    <row r="72" spans="4:9" ht="12" customHeight="1" x14ac:dyDescent="0.25">
      <c r="D72" s="2"/>
      <c r="E72" s="2"/>
      <c r="F72" s="2"/>
      <c r="G72" s="1"/>
      <c r="H72" s="3"/>
      <c r="I72" s="3"/>
    </row>
    <row r="73" spans="4:9" ht="12" customHeight="1" x14ac:dyDescent="0.25">
      <c r="D73" s="2"/>
      <c r="E73" s="2"/>
      <c r="F73" s="2"/>
      <c r="G73" s="1"/>
      <c r="H73" s="3"/>
      <c r="I73" s="3"/>
    </row>
    <row r="74" spans="4:9" ht="12" customHeight="1" x14ac:dyDescent="0.25">
      <c r="D74" s="2"/>
      <c r="E74" s="2"/>
      <c r="F74" s="2"/>
      <c r="G74" s="1"/>
      <c r="H74" s="3"/>
      <c r="I74" s="3"/>
    </row>
    <row r="75" spans="4:9" ht="12" customHeight="1" x14ac:dyDescent="0.25">
      <c r="D75" s="2"/>
      <c r="E75" s="2"/>
      <c r="F75" s="2"/>
      <c r="G75" s="1"/>
      <c r="H75" s="3"/>
      <c r="I75" s="3"/>
    </row>
    <row r="76" spans="4:9" ht="12" customHeight="1" x14ac:dyDescent="0.25">
      <c r="D76" s="2"/>
      <c r="E76" s="2"/>
      <c r="F76" s="2"/>
      <c r="G76" s="1"/>
      <c r="H76" s="3"/>
      <c r="I76" s="3"/>
    </row>
    <row r="77" spans="4:9" ht="12" customHeight="1" x14ac:dyDescent="0.25">
      <c r="D77" s="2"/>
      <c r="E77" s="2"/>
      <c r="F77" s="2"/>
      <c r="G77" s="1"/>
      <c r="H77" s="3"/>
      <c r="I77" s="3"/>
    </row>
    <row r="78" spans="4:9" ht="12" customHeight="1" x14ac:dyDescent="0.25">
      <c r="D78" s="2"/>
      <c r="E78" s="2"/>
      <c r="F78" s="2"/>
      <c r="G78" s="1"/>
      <c r="H78" s="3"/>
      <c r="I78" s="3"/>
    </row>
    <row r="79" spans="4:9" ht="12" customHeight="1" x14ac:dyDescent="0.25">
      <c r="D79" s="2"/>
      <c r="E79" s="2"/>
      <c r="F79" s="2"/>
      <c r="G79" s="1"/>
      <c r="H79" s="3"/>
      <c r="I79" s="3"/>
    </row>
    <row r="80" spans="4:9" ht="12" customHeight="1" x14ac:dyDescent="0.25">
      <c r="D80" s="2"/>
      <c r="E80" s="2"/>
      <c r="F80" s="2"/>
      <c r="G80" s="1"/>
      <c r="H80" s="3"/>
      <c r="I80" s="3"/>
    </row>
    <row r="81" spans="4:9" ht="12" customHeight="1" x14ac:dyDescent="0.25">
      <c r="D81" s="2"/>
      <c r="E81" s="2"/>
      <c r="F81" s="2"/>
      <c r="G81" s="1"/>
      <c r="H81" s="3"/>
      <c r="I81" s="3"/>
    </row>
    <row r="82" spans="4:9" ht="12" customHeight="1" x14ac:dyDescent="0.25">
      <c r="D82" s="2"/>
      <c r="E82" s="2"/>
      <c r="F82" s="2"/>
      <c r="G82" s="1"/>
      <c r="H82" s="3"/>
      <c r="I82" s="3"/>
    </row>
    <row r="83" spans="4:9" ht="12" customHeight="1" x14ac:dyDescent="0.25">
      <c r="D83" s="2"/>
      <c r="E83" s="2"/>
      <c r="F83" s="2"/>
      <c r="G83" s="1"/>
      <c r="H83" s="3"/>
      <c r="I83" s="3"/>
    </row>
    <row r="84" spans="4:9" ht="12" customHeight="1" x14ac:dyDescent="0.25">
      <c r="D84" s="2"/>
      <c r="E84" s="2"/>
      <c r="F84" s="2"/>
      <c r="G84" s="1"/>
      <c r="H84" s="3"/>
      <c r="I84" s="3"/>
    </row>
    <row r="85" spans="4:9" ht="12" customHeight="1" x14ac:dyDescent="0.25">
      <c r="D85" s="2"/>
      <c r="E85" s="2"/>
      <c r="F85" s="2"/>
      <c r="G85" s="1"/>
      <c r="H85" s="3"/>
      <c r="I85" s="3"/>
    </row>
    <row r="86" spans="4:9" ht="12" customHeight="1" x14ac:dyDescent="0.25">
      <c r="D86" s="2"/>
      <c r="E86" s="2"/>
      <c r="F86" s="2"/>
      <c r="G86" s="1"/>
      <c r="H86" s="3"/>
      <c r="I86" s="3"/>
    </row>
    <row r="87" spans="4:9" ht="12" customHeight="1" x14ac:dyDescent="0.25">
      <c r="D87" s="2"/>
      <c r="E87" s="2"/>
      <c r="F87" s="2"/>
      <c r="G87" s="1"/>
      <c r="H87" s="3"/>
      <c r="I87" s="3"/>
    </row>
    <row r="88" spans="4:9" ht="12" customHeight="1" x14ac:dyDescent="0.25">
      <c r="D88" s="2"/>
      <c r="E88" s="2"/>
      <c r="F88" s="2"/>
      <c r="G88" s="1"/>
      <c r="H88" s="3"/>
      <c r="I88" s="3"/>
    </row>
    <row r="89" spans="4:9" ht="12" customHeight="1" x14ac:dyDescent="0.25">
      <c r="D89" s="2"/>
      <c r="E89" s="2"/>
      <c r="F89" s="2"/>
      <c r="G89" s="1"/>
      <c r="H89" s="3"/>
      <c r="I89" s="3"/>
    </row>
    <row r="90" spans="4:9" ht="12" customHeight="1" x14ac:dyDescent="0.25">
      <c r="D90" s="2"/>
      <c r="E90" s="2"/>
      <c r="F90" s="2"/>
      <c r="G90" s="1"/>
      <c r="H90" s="3"/>
      <c r="I90" s="3"/>
    </row>
    <row r="91" spans="4:9" ht="12" customHeight="1" x14ac:dyDescent="0.25">
      <c r="D91" s="2"/>
      <c r="E91" s="2"/>
      <c r="F91" s="2"/>
      <c r="G91" s="1"/>
      <c r="H91" s="3"/>
      <c r="I91" s="3"/>
    </row>
    <row r="92" spans="4:9" ht="12" customHeight="1" x14ac:dyDescent="0.25">
      <c r="D92" s="2"/>
      <c r="E92" s="2"/>
      <c r="F92" s="2"/>
      <c r="G92" s="1"/>
      <c r="H92" s="3"/>
      <c r="I92" s="3"/>
    </row>
    <row r="93" spans="4:9" ht="12" customHeight="1" x14ac:dyDescent="0.25">
      <c r="D93" s="2"/>
      <c r="E93" s="2"/>
      <c r="F93" s="2"/>
      <c r="G93" s="1"/>
      <c r="H93" s="3"/>
      <c r="I93" s="3"/>
    </row>
    <row r="94" spans="4:9" ht="12" customHeight="1" x14ac:dyDescent="0.25">
      <c r="D94" s="2"/>
      <c r="E94" s="2"/>
      <c r="F94" s="2"/>
      <c r="G94" s="1"/>
      <c r="H94" s="3"/>
      <c r="I94" s="3"/>
    </row>
    <row r="95" spans="4:9" ht="12" customHeight="1" x14ac:dyDescent="0.25">
      <c r="D95" s="2"/>
      <c r="E95" s="2"/>
      <c r="F95" s="2"/>
      <c r="G95" s="1"/>
      <c r="H95" s="3"/>
      <c r="I95" s="3"/>
    </row>
    <row r="96" spans="4:9" ht="12" customHeight="1" x14ac:dyDescent="0.25">
      <c r="D96" s="2"/>
      <c r="E96" s="2"/>
      <c r="F96" s="2"/>
      <c r="G96" s="1"/>
      <c r="H96" s="3"/>
      <c r="I96" s="3"/>
    </row>
    <row r="97" spans="4:9" ht="12" customHeight="1" x14ac:dyDescent="0.25">
      <c r="D97" s="2"/>
      <c r="E97" s="2"/>
      <c r="F97" s="2"/>
      <c r="G97" s="1"/>
      <c r="H97" s="3"/>
      <c r="I97" s="3"/>
    </row>
    <row r="98" spans="4:9" ht="12" customHeight="1" x14ac:dyDescent="0.25">
      <c r="D98" s="2"/>
      <c r="E98" s="2"/>
      <c r="F98" s="2"/>
      <c r="G98" s="1"/>
      <c r="H98" s="3"/>
      <c r="I98" s="3"/>
    </row>
    <row r="99" spans="4:9" ht="12" customHeight="1" x14ac:dyDescent="0.25">
      <c r="D99" s="2"/>
      <c r="E99" s="2"/>
      <c r="F99" s="2"/>
      <c r="G99" s="1"/>
      <c r="H99" s="3"/>
      <c r="I99" s="3"/>
    </row>
    <row r="100" spans="4:9" ht="12" customHeight="1" x14ac:dyDescent="0.25"/>
    <row r="101" spans="4:9" ht="12" customHeight="1" x14ac:dyDescent="0.25"/>
    <row r="102" spans="4:9" ht="12" customHeight="1" x14ac:dyDescent="0.25"/>
    <row r="103" spans="4:9" ht="12" customHeight="1" x14ac:dyDescent="0.25"/>
    <row r="104" spans="4:9" ht="12" customHeight="1" x14ac:dyDescent="0.25"/>
    <row r="105" spans="4:9" ht="12" customHeight="1" x14ac:dyDescent="0.25"/>
    <row r="106" spans="4:9" ht="12" customHeight="1" x14ac:dyDescent="0.25"/>
    <row r="107" spans="4:9" ht="12" customHeight="1" x14ac:dyDescent="0.25"/>
    <row r="108" spans="4:9" ht="12" customHeight="1" x14ac:dyDescent="0.25"/>
    <row r="109" spans="4:9" ht="12" customHeight="1" x14ac:dyDescent="0.25"/>
    <row r="110" spans="4:9" ht="12" customHeight="1" x14ac:dyDescent="0.25"/>
    <row r="111" spans="4:9" ht="12" customHeight="1" x14ac:dyDescent="0.25"/>
    <row r="112" spans="4:9"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sheetData>
  <mergeCells count="14">
    <mergeCell ref="A30:H30"/>
    <mergeCell ref="A31:H33"/>
    <mergeCell ref="A17:H17"/>
    <mergeCell ref="A4:B4"/>
    <mergeCell ref="C4:D4"/>
    <mergeCell ref="E4:F4"/>
    <mergeCell ref="A5:B6"/>
    <mergeCell ref="A1:H1"/>
    <mergeCell ref="A2:H2"/>
    <mergeCell ref="G4:H4"/>
    <mergeCell ref="G5:H6"/>
    <mergeCell ref="A8:H8"/>
    <mergeCell ref="C5:D6"/>
    <mergeCell ref="E5:F6"/>
  </mergeCells>
  <conditionalFormatting sqref="E5">
    <cfRule type="cellIs" dxfId="49" priority="1" operator="greaterThan">
      <formula>0</formula>
    </cfRule>
  </conditionalFormatting>
  <conditionalFormatting sqref="E5">
    <cfRule type="cellIs" dxfId="48" priority="2" operator="lessThan">
      <formula>0</formula>
    </cfRule>
  </conditionalFormatting>
  <conditionalFormatting sqref="G5">
    <cfRule type="cellIs" dxfId="47" priority="3" operator="greaterThan">
      <formula>0</formula>
    </cfRule>
  </conditionalFormatting>
  <conditionalFormatting sqref="G5">
    <cfRule type="cellIs" dxfId="46" priority="4" operator="lessThan">
      <formula>0</formula>
    </cfRule>
  </conditionalFormatting>
  <conditionalFormatting sqref="E10:E15">
    <cfRule type="cellIs" dxfId="45" priority="5" operator="greaterThan">
      <formula>0</formula>
    </cfRule>
  </conditionalFormatting>
  <conditionalFormatting sqref="E10:E15">
    <cfRule type="cellIs" dxfId="44" priority="6" operator="lessThan">
      <formula>0</formula>
    </cfRule>
  </conditionalFormatting>
  <conditionalFormatting sqref="F10:F15">
    <cfRule type="cellIs" dxfId="43" priority="7" operator="greaterThan">
      <formula>0</formula>
    </cfRule>
  </conditionalFormatting>
  <conditionalFormatting sqref="F10:F15">
    <cfRule type="cellIs" dxfId="42" priority="8" operator="lessThan">
      <formula>0</formula>
    </cfRule>
  </conditionalFormatting>
  <conditionalFormatting sqref="E19:E28">
    <cfRule type="cellIs" dxfId="41" priority="9" operator="greaterThan">
      <formula>0</formula>
    </cfRule>
  </conditionalFormatting>
  <conditionalFormatting sqref="E19:E28">
    <cfRule type="cellIs" dxfId="40" priority="10" operator="lessThan">
      <formula>0</formula>
    </cfRule>
  </conditionalFormatting>
  <conditionalFormatting sqref="F19:F28">
    <cfRule type="cellIs" dxfId="39" priority="11" operator="greaterThan">
      <formula>0</formula>
    </cfRule>
  </conditionalFormatting>
  <conditionalFormatting sqref="F19:F28">
    <cfRule type="cellIs" dxfId="38" priority="12" operator="lessThan">
      <formula>0</formula>
    </cfRule>
  </conditionalFormatting>
  <pageMargins left="0.7" right="0.7" top="0.75" bottom="0.75" header="0" footer="0"/>
  <pageSetup orientation="landscape"/>
  <headerFooter>
    <oddHeader>&amp;L&amp;"Arial"&amp;9&amp;KA80000 CONFIDENTIAL&amp;1#_x000D_&amp;"Arial"&amp;10&amp;K000000A80000 CONFIDENTIAL#_x000D_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B9BD5"/>
  </sheetPr>
  <dimension ref="A1:J1016"/>
  <sheetViews>
    <sheetView workbookViewId="0">
      <pane xSplit="2" topLeftCell="F1" activePane="topRight" state="frozen"/>
      <selection activeCell="A6" sqref="A6"/>
      <selection pane="topRight" activeCell="K17" sqref="K17"/>
    </sheetView>
  </sheetViews>
  <sheetFormatPr defaultColWidth="12.6328125" defaultRowHeight="15" customHeight="1" x14ac:dyDescent="0.25"/>
  <cols>
    <col min="1" max="1" width="12.7265625" customWidth="1"/>
    <col min="2" max="2" width="36.36328125" customWidth="1"/>
    <col min="3" max="3" width="12.7265625" customWidth="1"/>
    <col min="4" max="4" width="10.90625" customWidth="1"/>
    <col min="5" max="5" width="14.54296875" customWidth="1"/>
    <col min="6" max="6" width="12.7265625" customWidth="1"/>
    <col min="7" max="7" width="11.81640625" customWidth="1"/>
    <col min="8" max="8" width="14.54296875" customWidth="1"/>
    <col min="9" max="9" width="11.81640625" customWidth="1"/>
    <col min="10" max="10" width="14.54296875" customWidth="1"/>
    <col min="11" max="26" width="8.6328125" customWidth="1"/>
  </cols>
  <sheetData>
    <row r="1" spans="1:10" ht="30" customHeight="1" x14ac:dyDescent="0.25">
      <c r="A1" s="24" t="s">
        <v>14</v>
      </c>
      <c r="B1" s="24"/>
      <c r="C1" s="24"/>
      <c r="D1" s="24"/>
      <c r="E1" s="24"/>
      <c r="F1" s="24"/>
      <c r="G1" s="24"/>
      <c r="H1" s="24"/>
      <c r="I1" s="24"/>
      <c r="J1" s="24"/>
    </row>
    <row r="2" spans="1:10" ht="22" customHeight="1" x14ac:dyDescent="0.25">
      <c r="A2" s="25" t="s">
        <v>94</v>
      </c>
      <c r="B2" s="25"/>
      <c r="C2" s="25"/>
      <c r="D2" s="25"/>
      <c r="E2" s="25"/>
      <c r="F2" s="25"/>
      <c r="G2" s="25"/>
      <c r="H2" s="25"/>
      <c r="I2" s="25"/>
      <c r="J2" s="25"/>
    </row>
    <row r="3" spans="1:10" ht="12" customHeight="1" x14ac:dyDescent="0.3">
      <c r="A3" s="7"/>
      <c r="B3" s="7"/>
      <c r="C3" s="7"/>
      <c r="D3" s="7"/>
      <c r="E3" s="7"/>
      <c r="F3" s="7"/>
      <c r="G3" s="7"/>
      <c r="H3" s="7"/>
      <c r="I3" s="7"/>
      <c r="J3" s="7"/>
    </row>
    <row r="4" spans="1:10" ht="30" customHeight="1" x14ac:dyDescent="0.3">
      <c r="A4" s="16" t="s">
        <v>16</v>
      </c>
      <c r="B4" s="16" t="s">
        <v>17</v>
      </c>
      <c r="C4" s="16" t="s">
        <v>18</v>
      </c>
      <c r="D4" s="16" t="s">
        <v>21</v>
      </c>
      <c r="E4" s="16" t="s">
        <v>19</v>
      </c>
      <c r="F4" s="16" t="s">
        <v>20</v>
      </c>
      <c r="G4" s="16" t="s">
        <v>75</v>
      </c>
      <c r="H4" s="16" t="s">
        <v>22</v>
      </c>
      <c r="I4" s="17" t="s">
        <v>76</v>
      </c>
      <c r="J4" s="17" t="s">
        <v>23</v>
      </c>
    </row>
    <row r="5" spans="1:10" ht="13" x14ac:dyDescent="0.3">
      <c r="A5" s="18" t="s">
        <v>24</v>
      </c>
      <c r="B5" s="19" t="s">
        <v>77</v>
      </c>
      <c r="C5" s="20">
        <v>578.85</v>
      </c>
      <c r="D5" s="21">
        <v>231</v>
      </c>
      <c r="E5" s="20">
        <v>587.79999999999995</v>
      </c>
      <c r="F5" s="20">
        <v>592.95000000000005</v>
      </c>
      <c r="G5" s="22">
        <f>IFERROR((VelanPortfolio[[#This Row],[CMP]]-VelanPortfolio[[#This Row],[Previous Close]])/VelanPortfolio[[#This Row],[Previous Close]],"")</f>
        <v>8.7614834977885192E-3</v>
      </c>
      <c r="H5" s="20">
        <f>IF(OR(VelanPortfolio[[#This Row],[CMP]]="",VelanPortfolio[[#This Row],[Previous Close]]="",VelanPortfolio[[#This Row],[Quantity]]=""),"",(VelanPortfolio[[#This Row],[CMP]]-VelanPortfolio[[#This Row],[Previous Close]])*VelanPortfolio[[#This Row],[Quantity]])</f>
        <v>1189.650000000021</v>
      </c>
      <c r="I5" s="23">
        <f>IFERROR((VelanPortfolio[[#This Row],[CMP]]-VelanPortfolio[[#This Row],[Buy Price]])/VelanPortfolio[[#This Row],[Buy Price]],"")</f>
        <v>2.4358642135268241E-2</v>
      </c>
      <c r="J5" s="14">
        <f>IF(OR(VelanPortfolio[[#This Row],[CMP]]="",VelanPortfolio[[#This Row],[Buy Price]]="",VelanPortfolio[[#This Row],[Quantity]]=""),"",(VelanPortfolio[[#This Row],[CMP]]-VelanPortfolio[[#This Row],[Buy Price]])*VelanPortfolio[[#This Row],[Quantity]])</f>
        <v>3257.1000000000054</v>
      </c>
    </row>
    <row r="6" spans="1:10" ht="13" x14ac:dyDescent="0.3">
      <c r="A6" s="18" t="s">
        <v>25</v>
      </c>
      <c r="B6" s="19" t="s">
        <v>78</v>
      </c>
      <c r="C6" s="20">
        <v>1096.8</v>
      </c>
      <c r="D6" s="21">
        <v>93</v>
      </c>
      <c r="E6" s="20">
        <v>1387</v>
      </c>
      <c r="F6" s="20">
        <v>1412.8</v>
      </c>
      <c r="G6" s="22">
        <f>IFERROR((VelanPortfolio[[#This Row],[CMP]]-VelanPortfolio[[#This Row],[Previous Close]])/VelanPortfolio[[#This Row],[Previous Close]],"")</f>
        <v>1.8601297764960313E-2</v>
      </c>
      <c r="H6" s="20">
        <f>IF(OR(VelanPortfolio[[#This Row],[CMP]]="",VelanPortfolio[[#This Row],[Previous Close]]="",VelanPortfolio[[#This Row],[Quantity]]=""),"",(VelanPortfolio[[#This Row],[CMP]]-VelanPortfolio[[#This Row],[Previous Close]])*VelanPortfolio[[#This Row],[Quantity]])</f>
        <v>2399.399999999996</v>
      </c>
      <c r="I6" s="23">
        <f>IFERROR((VelanPortfolio[[#This Row],[CMP]]-VelanPortfolio[[#This Row],[Buy Price]])/VelanPortfolio[[#This Row],[Buy Price]],"")</f>
        <v>0.28811086797957697</v>
      </c>
      <c r="J6" s="14">
        <f>IF(OR(VelanPortfolio[[#This Row],[CMP]]="",VelanPortfolio[[#This Row],[Buy Price]]="",VelanPortfolio[[#This Row],[Quantity]]=""),"",(VelanPortfolio[[#This Row],[CMP]]-VelanPortfolio[[#This Row],[Buy Price]])*VelanPortfolio[[#This Row],[Quantity]])</f>
        <v>29388</v>
      </c>
    </row>
    <row r="7" spans="1:10" ht="13" x14ac:dyDescent="0.3">
      <c r="A7" s="18" t="s">
        <v>27</v>
      </c>
      <c r="B7" s="19" t="s">
        <v>79</v>
      </c>
      <c r="C7" s="20">
        <v>14005</v>
      </c>
      <c r="D7" s="21">
        <v>4</v>
      </c>
      <c r="E7" s="20">
        <v>14461</v>
      </c>
      <c r="F7" s="20">
        <v>14584</v>
      </c>
      <c r="G7" s="22">
        <f>IFERROR((VelanPortfolio[[#This Row],[CMP]]-VelanPortfolio[[#This Row],[Previous Close]])/VelanPortfolio[[#This Row],[Previous Close]],"")</f>
        <v>8.5056358481432823E-3</v>
      </c>
      <c r="H7" s="20">
        <f>IF(OR(VelanPortfolio[[#This Row],[CMP]]="",VelanPortfolio[[#This Row],[Previous Close]]="",VelanPortfolio[[#This Row],[Quantity]]=""),"",(VelanPortfolio[[#This Row],[CMP]]-VelanPortfolio[[#This Row],[Previous Close]])*VelanPortfolio[[#This Row],[Quantity]])</f>
        <v>492</v>
      </c>
      <c r="I7" s="23">
        <f>IFERROR((VelanPortfolio[[#This Row],[CMP]]-VelanPortfolio[[#This Row],[Buy Price]])/VelanPortfolio[[#This Row],[Buy Price]],"")</f>
        <v>4.1342377722242057E-2</v>
      </c>
      <c r="J7" s="14">
        <f>IF(OR(VelanPortfolio[[#This Row],[CMP]]="",VelanPortfolio[[#This Row],[Buy Price]]="",VelanPortfolio[[#This Row],[Quantity]]=""),"",(VelanPortfolio[[#This Row],[CMP]]-VelanPortfolio[[#This Row],[Buy Price]])*VelanPortfolio[[#This Row],[Quantity]])</f>
        <v>2316</v>
      </c>
    </row>
    <row r="8" spans="1:10" ht="13" x14ac:dyDescent="0.3">
      <c r="A8" s="18" t="s">
        <v>29</v>
      </c>
      <c r="B8" s="19" t="s">
        <v>80</v>
      </c>
      <c r="C8" s="20">
        <v>1355.45</v>
      </c>
      <c r="D8" s="21">
        <v>8</v>
      </c>
      <c r="E8" s="20">
        <v>1351.4</v>
      </c>
      <c r="F8" s="20">
        <v>1330</v>
      </c>
      <c r="G8" s="22">
        <f>IFERROR((VelanPortfolio[[#This Row],[CMP]]-VelanPortfolio[[#This Row],[Previous Close]])/VelanPortfolio[[#This Row],[Previous Close]],"")</f>
        <v>-1.5835429924522783E-2</v>
      </c>
      <c r="H8" s="20">
        <f>IF(OR(VelanPortfolio[[#This Row],[CMP]]="",VelanPortfolio[[#This Row],[Previous Close]]="",VelanPortfolio[[#This Row],[Quantity]]=""),"",(VelanPortfolio[[#This Row],[CMP]]-VelanPortfolio[[#This Row],[Previous Close]])*VelanPortfolio[[#This Row],[Quantity]])</f>
        <v>-171.20000000000073</v>
      </c>
      <c r="I8" s="23">
        <f>IFERROR((VelanPortfolio[[#This Row],[CMP]]-VelanPortfolio[[#This Row],[Buy Price]])/VelanPortfolio[[#This Row],[Buy Price]],"")</f>
        <v>-1.8776052233575598E-2</v>
      </c>
      <c r="J8" s="14">
        <f>IF(OR(VelanPortfolio[[#This Row],[CMP]]="",VelanPortfolio[[#This Row],[Buy Price]]="",VelanPortfolio[[#This Row],[Quantity]]=""),"",(VelanPortfolio[[#This Row],[CMP]]-VelanPortfolio[[#This Row],[Buy Price]])*VelanPortfolio[[#This Row],[Quantity]])</f>
        <v>-203.60000000000036</v>
      </c>
    </row>
    <row r="9" spans="1:10" ht="13" x14ac:dyDescent="0.3">
      <c r="A9" s="18" t="s">
        <v>32</v>
      </c>
      <c r="B9" s="19" t="s">
        <v>81</v>
      </c>
      <c r="C9" s="20">
        <v>740</v>
      </c>
      <c r="D9" s="21">
        <v>25</v>
      </c>
      <c r="E9" s="20">
        <v>675.3</v>
      </c>
      <c r="F9" s="20">
        <v>675.95</v>
      </c>
      <c r="G9" s="22">
        <f>IFERROR((VelanPortfolio[[#This Row],[CMP]]-VelanPortfolio[[#This Row],[Previous Close]])/VelanPortfolio[[#This Row],[Previous Close]],"")</f>
        <v>9.625351695544069E-4</v>
      </c>
      <c r="H9" s="20">
        <f>IF(OR(VelanPortfolio[[#This Row],[CMP]]="",VelanPortfolio[[#This Row],[Previous Close]]="",VelanPortfolio[[#This Row],[Quantity]]=""),"",(VelanPortfolio[[#This Row],[CMP]]-VelanPortfolio[[#This Row],[Previous Close]])*VelanPortfolio[[#This Row],[Quantity]])</f>
        <v>16.250000000002274</v>
      </c>
      <c r="I9" s="23">
        <f>IFERROR((VelanPortfolio[[#This Row],[CMP]]-VelanPortfolio[[#This Row],[Buy Price]])/VelanPortfolio[[#This Row],[Buy Price]],"")</f>
        <v>-8.6554054054053989E-2</v>
      </c>
      <c r="J9" s="14">
        <f>IF(OR(VelanPortfolio[[#This Row],[CMP]]="",VelanPortfolio[[#This Row],[Buy Price]]="",VelanPortfolio[[#This Row],[Quantity]]=""),"",(VelanPortfolio[[#This Row],[CMP]]-VelanPortfolio[[#This Row],[Buy Price]])*VelanPortfolio[[#This Row],[Quantity]])</f>
        <v>-1601.2499999999989</v>
      </c>
    </row>
    <row r="10" spans="1:10" ht="13" x14ac:dyDescent="0.3">
      <c r="A10" s="18" t="s">
        <v>35</v>
      </c>
      <c r="B10" s="19" t="s">
        <v>82</v>
      </c>
      <c r="C10" s="20">
        <v>75.849999999999994</v>
      </c>
      <c r="D10" s="21">
        <v>1087</v>
      </c>
      <c r="E10" s="20">
        <v>84.9</v>
      </c>
      <c r="F10" s="20">
        <v>84.95</v>
      </c>
      <c r="G10" s="22">
        <f>IFERROR((VelanPortfolio[[#This Row],[CMP]]-VelanPortfolio[[#This Row],[Previous Close]])/VelanPortfolio[[#This Row],[Previous Close]],"")</f>
        <v>5.8892815076557305E-4</v>
      </c>
      <c r="H10" s="20">
        <f>IF(OR(VelanPortfolio[[#This Row],[CMP]]="",VelanPortfolio[[#This Row],[Previous Close]]="",VelanPortfolio[[#This Row],[Quantity]]=""),"",(VelanPortfolio[[#This Row],[CMP]]-VelanPortfolio[[#This Row],[Previous Close]])*VelanPortfolio[[#This Row],[Quantity]])</f>
        <v>54.349999999996911</v>
      </c>
      <c r="I10" s="23">
        <f>IFERROR((VelanPortfolio[[#This Row],[CMP]]-VelanPortfolio[[#This Row],[Buy Price]])/VelanPortfolio[[#This Row],[Buy Price]],"")</f>
        <v>0.11997363216875424</v>
      </c>
      <c r="J10" s="14">
        <f>IF(OR(VelanPortfolio[[#This Row],[CMP]]="",VelanPortfolio[[#This Row],[Buy Price]]="",VelanPortfolio[[#This Row],[Quantity]]=""),"",(VelanPortfolio[[#This Row],[CMP]]-VelanPortfolio[[#This Row],[Buy Price]])*VelanPortfolio[[#This Row],[Quantity]])</f>
        <v>9891.7000000000098</v>
      </c>
    </row>
    <row r="11" spans="1:10" ht="13" x14ac:dyDescent="0.3">
      <c r="A11" s="18" t="s">
        <v>38</v>
      </c>
      <c r="B11" s="19" t="s">
        <v>83</v>
      </c>
      <c r="C11" s="20">
        <v>615.17999999999995</v>
      </c>
      <c r="D11" s="21">
        <v>1</v>
      </c>
      <c r="E11" s="20">
        <v>161.58000000000001</v>
      </c>
      <c r="F11" s="20">
        <v>158.72</v>
      </c>
      <c r="G11" s="22">
        <f>IFERROR((VelanPortfolio[[#This Row],[CMP]]-VelanPortfolio[[#This Row],[Previous Close]])/VelanPortfolio[[#This Row],[Previous Close]],"")</f>
        <v>-1.7700210422082023E-2</v>
      </c>
      <c r="H11" s="20">
        <f>IF(OR(VelanPortfolio[[#This Row],[CMP]]="",VelanPortfolio[[#This Row],[Previous Close]]="",VelanPortfolio[[#This Row],[Quantity]]=""),"",(VelanPortfolio[[#This Row],[CMP]]-VelanPortfolio[[#This Row],[Previous Close]])*VelanPortfolio[[#This Row],[Quantity]])</f>
        <v>-2.8600000000000136</v>
      </c>
      <c r="I11" s="23">
        <f>IFERROR((VelanPortfolio[[#This Row],[CMP]]-VelanPortfolio[[#This Row],[Buy Price]])/VelanPortfolio[[#This Row],[Buy Price]],"")</f>
        <v>-0.74199421307584768</v>
      </c>
      <c r="J11" s="14">
        <f>IF(OR(VelanPortfolio[[#This Row],[CMP]]="",VelanPortfolio[[#This Row],[Buy Price]]="",VelanPortfolio[[#This Row],[Quantity]]=""),"",(VelanPortfolio[[#This Row],[CMP]]-VelanPortfolio[[#This Row],[Buy Price]])*VelanPortfolio[[#This Row],[Quantity]])</f>
        <v>-456.45999999999992</v>
      </c>
    </row>
    <row r="12" spans="1:10" ht="13" x14ac:dyDescent="0.3">
      <c r="A12" s="18" t="s">
        <v>39</v>
      </c>
      <c r="B12" s="19" t="s">
        <v>84</v>
      </c>
      <c r="C12" s="20">
        <v>278.64</v>
      </c>
      <c r="D12" s="21">
        <v>530</v>
      </c>
      <c r="E12" s="20">
        <v>330.9</v>
      </c>
      <c r="F12" s="20">
        <v>329.4</v>
      </c>
      <c r="G12" s="22">
        <f>IFERROR((VelanPortfolio[[#This Row],[CMP]]-VelanPortfolio[[#This Row],[Previous Close]])/VelanPortfolio[[#This Row],[Previous Close]],"")</f>
        <v>-4.5330915684496827E-3</v>
      </c>
      <c r="H12" s="20">
        <f>IF(OR(VelanPortfolio[[#This Row],[CMP]]="",VelanPortfolio[[#This Row],[Previous Close]]="",VelanPortfolio[[#This Row],[Quantity]]=""),"",(VelanPortfolio[[#This Row],[CMP]]-VelanPortfolio[[#This Row],[Previous Close]])*VelanPortfolio[[#This Row],[Quantity]])</f>
        <v>-795</v>
      </c>
      <c r="I12" s="23">
        <f>IFERROR((VelanPortfolio[[#This Row],[CMP]]-VelanPortfolio[[#This Row],[Buy Price]])/VelanPortfolio[[#This Row],[Buy Price]],"")</f>
        <v>0.18217054263565888</v>
      </c>
      <c r="J12" s="14">
        <f>IF(OR(VelanPortfolio[[#This Row],[CMP]]="",VelanPortfolio[[#This Row],[Buy Price]]="",VelanPortfolio[[#This Row],[Quantity]]=""),"",(VelanPortfolio[[#This Row],[CMP]]-VelanPortfolio[[#This Row],[Buy Price]])*VelanPortfolio[[#This Row],[Quantity]])</f>
        <v>26902.799999999996</v>
      </c>
    </row>
    <row r="13" spans="1:10" ht="13" x14ac:dyDescent="0.3">
      <c r="A13" s="18" t="s">
        <v>40</v>
      </c>
      <c r="B13" s="19" t="s">
        <v>85</v>
      </c>
      <c r="C13" s="20">
        <v>99.07</v>
      </c>
      <c r="D13" s="21">
        <v>538</v>
      </c>
      <c r="E13" s="20">
        <v>105.72</v>
      </c>
      <c r="F13" s="20">
        <v>105.01</v>
      </c>
      <c r="G13" s="22">
        <f>IFERROR((VelanPortfolio[[#This Row],[CMP]]-VelanPortfolio[[#This Row],[Previous Close]])/VelanPortfolio[[#This Row],[Previous Close]],"")</f>
        <v>-6.7158531971244209E-3</v>
      </c>
      <c r="H13" s="20">
        <f>IF(OR(VelanPortfolio[[#This Row],[CMP]]="",VelanPortfolio[[#This Row],[Previous Close]]="",VelanPortfolio[[#This Row],[Quantity]]=""),"",(VelanPortfolio[[#This Row],[CMP]]-VelanPortfolio[[#This Row],[Previous Close]])*VelanPortfolio[[#This Row],[Quantity]])</f>
        <v>-381.97999999999661</v>
      </c>
      <c r="I13" s="23">
        <f>IFERROR((VelanPortfolio[[#This Row],[CMP]]-VelanPortfolio[[#This Row],[Buy Price]])/VelanPortfolio[[#This Row],[Buy Price]],"")</f>
        <v>5.9957605733319999E-2</v>
      </c>
      <c r="J13" s="14">
        <f>IF(OR(VelanPortfolio[[#This Row],[CMP]]="",VelanPortfolio[[#This Row],[Buy Price]]="",VelanPortfolio[[#This Row],[Quantity]]=""),"",(VelanPortfolio[[#This Row],[CMP]]-VelanPortfolio[[#This Row],[Buy Price]])*VelanPortfolio[[#This Row],[Quantity]])</f>
        <v>3195.7200000000066</v>
      </c>
    </row>
    <row r="14" spans="1:10" ht="13" x14ac:dyDescent="0.3">
      <c r="A14" s="18" t="s">
        <v>44</v>
      </c>
      <c r="B14" s="19" t="s">
        <v>86</v>
      </c>
      <c r="C14" s="20">
        <v>936.15</v>
      </c>
      <c r="D14" s="21">
        <v>65</v>
      </c>
      <c r="E14" s="20">
        <v>849.2</v>
      </c>
      <c r="F14" s="20">
        <v>841.85</v>
      </c>
      <c r="G14" s="22">
        <f>IFERROR((VelanPortfolio[[#This Row],[CMP]]-VelanPortfolio[[#This Row],[Previous Close]])/VelanPortfolio[[#This Row],[Previous Close]],"")</f>
        <v>-8.6552048987282408E-3</v>
      </c>
      <c r="H14" s="20">
        <f>IF(OR(VelanPortfolio[[#This Row],[CMP]]="",VelanPortfolio[[#This Row],[Previous Close]]="",VelanPortfolio[[#This Row],[Quantity]]=""),"",(VelanPortfolio[[#This Row],[CMP]]-VelanPortfolio[[#This Row],[Previous Close]])*VelanPortfolio[[#This Row],[Quantity]])</f>
        <v>-477.75000000000148</v>
      </c>
      <c r="I14" s="23">
        <f>IFERROR((VelanPortfolio[[#This Row],[CMP]]-VelanPortfolio[[#This Row],[Buy Price]])/VelanPortfolio[[#This Row],[Buy Price]],"")</f>
        <v>-0.10073172034396193</v>
      </c>
      <c r="J14" s="14">
        <f>IF(OR(VelanPortfolio[[#This Row],[CMP]]="",VelanPortfolio[[#This Row],[Buy Price]]="",VelanPortfolio[[#This Row],[Quantity]]=""),"",(VelanPortfolio[[#This Row],[CMP]]-VelanPortfolio[[#This Row],[Buy Price]])*VelanPortfolio[[#This Row],[Quantity]])</f>
        <v>-6129.4999999999973</v>
      </c>
    </row>
    <row r="15" spans="1:10" ht="13" x14ac:dyDescent="0.3">
      <c r="A15" s="18" t="s">
        <v>45</v>
      </c>
      <c r="B15" s="19" t="s">
        <v>87</v>
      </c>
      <c r="C15" s="20">
        <v>5098.49</v>
      </c>
      <c r="D15" s="21">
        <v>40</v>
      </c>
      <c r="E15" s="20">
        <v>5136.5</v>
      </c>
      <c r="F15" s="20">
        <v>5120</v>
      </c>
      <c r="G15" s="22">
        <f>IFERROR((VelanPortfolio[[#This Row],[CMP]]-VelanPortfolio[[#This Row],[Previous Close]])/VelanPortfolio[[#This Row],[Previous Close]],"")</f>
        <v>-3.2123040981212889E-3</v>
      </c>
      <c r="H15" s="20">
        <f>IF(OR(VelanPortfolio[[#This Row],[CMP]]="",VelanPortfolio[[#This Row],[Previous Close]]="",VelanPortfolio[[#This Row],[Quantity]]=""),"",(VelanPortfolio[[#This Row],[CMP]]-VelanPortfolio[[#This Row],[Previous Close]])*VelanPortfolio[[#This Row],[Quantity]])</f>
        <v>-660</v>
      </c>
      <c r="I15" s="23">
        <f>IFERROR((VelanPortfolio[[#This Row],[CMP]]-VelanPortfolio[[#This Row],[Buy Price]])/VelanPortfolio[[#This Row],[Buy Price]],"")</f>
        <v>4.2188961829875546E-3</v>
      </c>
      <c r="J15" s="14">
        <f>IF(OR(VelanPortfolio[[#This Row],[CMP]]="",VelanPortfolio[[#This Row],[Buy Price]]="",VelanPortfolio[[#This Row],[Quantity]]=""),"",(VelanPortfolio[[#This Row],[CMP]]-VelanPortfolio[[#This Row],[Buy Price]])*VelanPortfolio[[#This Row],[Quantity]])</f>
        <v>860.40000000000873</v>
      </c>
    </row>
    <row r="16" spans="1:10" ht="13" x14ac:dyDescent="0.3">
      <c r="A16" s="18" t="s">
        <v>47</v>
      </c>
      <c r="B16" s="19" t="s">
        <v>88</v>
      </c>
      <c r="C16" s="20">
        <v>468.28</v>
      </c>
      <c r="D16" s="21">
        <v>472</v>
      </c>
      <c r="E16" s="20">
        <v>490</v>
      </c>
      <c r="F16" s="20">
        <v>498</v>
      </c>
      <c r="G16" s="22">
        <f>IFERROR((VelanPortfolio[[#This Row],[CMP]]-VelanPortfolio[[#This Row],[Previous Close]])/VelanPortfolio[[#This Row],[Previous Close]],"")</f>
        <v>1.6326530612244899E-2</v>
      </c>
      <c r="H16" s="20">
        <f>IF(OR(VelanPortfolio[[#This Row],[CMP]]="",VelanPortfolio[[#This Row],[Previous Close]]="",VelanPortfolio[[#This Row],[Quantity]]=""),"",(VelanPortfolio[[#This Row],[CMP]]-VelanPortfolio[[#This Row],[Previous Close]])*VelanPortfolio[[#This Row],[Quantity]])</f>
        <v>3776</v>
      </c>
      <c r="I16" s="23">
        <f>IFERROR((VelanPortfolio[[#This Row],[CMP]]-VelanPortfolio[[#This Row],[Buy Price]])/VelanPortfolio[[#This Row],[Buy Price]],"")</f>
        <v>6.3466302212351652E-2</v>
      </c>
      <c r="J16" s="14">
        <f>IF(OR(VelanPortfolio[[#This Row],[CMP]]="",VelanPortfolio[[#This Row],[Buy Price]]="",VelanPortfolio[[#This Row],[Quantity]]=""),"",(VelanPortfolio[[#This Row],[CMP]]-VelanPortfolio[[#This Row],[Buy Price]])*VelanPortfolio[[#This Row],[Quantity]])</f>
        <v>14027.840000000013</v>
      </c>
    </row>
    <row r="17" spans="1:10" ht="13" x14ac:dyDescent="0.3">
      <c r="A17" s="18" t="s">
        <v>48</v>
      </c>
      <c r="B17" s="19" t="s">
        <v>89</v>
      </c>
      <c r="C17" s="20">
        <v>403.86</v>
      </c>
      <c r="D17" s="21">
        <v>285</v>
      </c>
      <c r="E17" s="20">
        <v>345.8</v>
      </c>
      <c r="F17" s="20">
        <v>346.8</v>
      </c>
      <c r="G17" s="22">
        <f>IFERROR((VelanPortfolio[[#This Row],[CMP]]-VelanPortfolio[[#This Row],[Previous Close]])/VelanPortfolio[[#This Row],[Previous Close]],"")</f>
        <v>2.8918449971081549E-3</v>
      </c>
      <c r="H17" s="20">
        <f>IF(OR(VelanPortfolio[[#This Row],[CMP]]="",VelanPortfolio[[#This Row],[Previous Close]]="",VelanPortfolio[[#This Row],[Quantity]]=""),"",(VelanPortfolio[[#This Row],[CMP]]-VelanPortfolio[[#This Row],[Previous Close]])*VelanPortfolio[[#This Row],[Quantity]])</f>
        <v>285</v>
      </c>
      <c r="I17" s="23">
        <f>IFERROR((VelanPortfolio[[#This Row],[CMP]]-VelanPortfolio[[#This Row],[Buy Price]])/VelanPortfolio[[#This Row],[Buy Price]],"")</f>
        <v>-0.14128658445996137</v>
      </c>
      <c r="J17" s="14">
        <f>IF(OR(VelanPortfolio[[#This Row],[CMP]]="",VelanPortfolio[[#This Row],[Buy Price]]="",VelanPortfolio[[#This Row],[Quantity]]=""),"",(VelanPortfolio[[#This Row],[CMP]]-VelanPortfolio[[#This Row],[Buy Price]])*VelanPortfolio[[#This Row],[Quantity]])</f>
        <v>-16262.1</v>
      </c>
    </row>
    <row r="18" spans="1:10" ht="13" x14ac:dyDescent="0.3">
      <c r="A18" s="18" t="s">
        <v>49</v>
      </c>
      <c r="B18" s="19" t="s">
        <v>90</v>
      </c>
      <c r="C18" s="20">
        <v>381.46</v>
      </c>
      <c r="D18" s="21">
        <v>225</v>
      </c>
      <c r="E18" s="20">
        <v>314.05</v>
      </c>
      <c r="F18" s="20">
        <v>316.8</v>
      </c>
      <c r="G18" s="22">
        <f>IFERROR((VelanPortfolio[[#This Row],[CMP]]-VelanPortfolio[[#This Row],[Previous Close]])/VelanPortfolio[[#This Row],[Previous Close]],"")</f>
        <v>8.7565674255691769E-3</v>
      </c>
      <c r="H18" s="20">
        <f>IF(OR(VelanPortfolio[[#This Row],[CMP]]="",VelanPortfolio[[#This Row],[Previous Close]]="",VelanPortfolio[[#This Row],[Quantity]]=""),"",(VelanPortfolio[[#This Row],[CMP]]-VelanPortfolio[[#This Row],[Previous Close]])*VelanPortfolio[[#This Row],[Quantity]])</f>
        <v>618.75</v>
      </c>
      <c r="I18" s="23">
        <f>IFERROR((VelanPortfolio[[#This Row],[CMP]]-VelanPortfolio[[#This Row],[Buy Price]])/VelanPortfolio[[#This Row],[Buy Price]],"")</f>
        <v>-0.16950663241231051</v>
      </c>
      <c r="J18" s="14">
        <f>IF(OR(VelanPortfolio[[#This Row],[CMP]]="",VelanPortfolio[[#This Row],[Buy Price]]="",VelanPortfolio[[#This Row],[Quantity]]=""),"",(VelanPortfolio[[#This Row],[CMP]]-VelanPortfolio[[#This Row],[Buy Price]])*VelanPortfolio[[#This Row],[Quantity]])</f>
        <v>-14548.499999999993</v>
      </c>
    </row>
    <row r="19" spans="1:10" ht="13" x14ac:dyDescent="0.3">
      <c r="A19" s="18" t="s">
        <v>50</v>
      </c>
      <c r="B19" s="19" t="s">
        <v>91</v>
      </c>
      <c r="C19" s="20">
        <v>31.67</v>
      </c>
      <c r="D19" s="21">
        <v>5000</v>
      </c>
      <c r="E19" s="20">
        <v>45.91</v>
      </c>
      <c r="F19" s="20">
        <v>45.83</v>
      </c>
      <c r="G19" s="22">
        <f>IFERROR((VelanPortfolio[[#This Row],[CMP]]-VelanPortfolio[[#This Row],[Previous Close]])/VelanPortfolio[[#This Row],[Previous Close]],"")</f>
        <v>-1.7425397516880484E-3</v>
      </c>
      <c r="H19" s="20">
        <f>IF(OR(VelanPortfolio[[#This Row],[CMP]]="",VelanPortfolio[[#This Row],[Previous Close]]="",VelanPortfolio[[#This Row],[Quantity]]=""),"",(VelanPortfolio[[#This Row],[CMP]]-VelanPortfolio[[#This Row],[Previous Close]])*VelanPortfolio[[#This Row],[Quantity]])</f>
        <v>-399.99999999999147</v>
      </c>
      <c r="I19" s="23">
        <f>IFERROR((VelanPortfolio[[#This Row],[CMP]]-VelanPortfolio[[#This Row],[Buy Price]])/VelanPortfolio[[#This Row],[Buy Price]],"")</f>
        <v>0.44711083043890104</v>
      </c>
      <c r="J19" s="14">
        <f>IF(OR(VelanPortfolio[[#This Row],[CMP]]="",VelanPortfolio[[#This Row],[Buy Price]]="",VelanPortfolio[[#This Row],[Quantity]]=""),"",(VelanPortfolio[[#This Row],[CMP]]-VelanPortfolio[[#This Row],[Buy Price]])*VelanPortfolio[[#This Row],[Quantity]])</f>
        <v>70799.999999999985</v>
      </c>
    </row>
    <row r="20" spans="1:10" ht="13" x14ac:dyDescent="0.3">
      <c r="A20" s="18" t="s">
        <v>51</v>
      </c>
      <c r="B20" s="19" t="s">
        <v>92</v>
      </c>
      <c r="C20" s="20">
        <v>364.19</v>
      </c>
      <c r="D20" s="21">
        <v>150</v>
      </c>
      <c r="E20" s="20">
        <v>350.55</v>
      </c>
      <c r="F20" s="20">
        <v>362.3</v>
      </c>
      <c r="G20" s="22">
        <f>IFERROR((VelanPortfolio[[#This Row],[CMP]]-VelanPortfolio[[#This Row],[Previous Close]])/VelanPortfolio[[#This Row],[Previous Close]],"")</f>
        <v>3.351875624019398E-2</v>
      </c>
      <c r="H20" s="20">
        <f>IF(OR(VelanPortfolio[[#This Row],[CMP]]="",VelanPortfolio[[#This Row],[Previous Close]]="",VelanPortfolio[[#This Row],[Quantity]]=""),"",(VelanPortfolio[[#This Row],[CMP]]-VelanPortfolio[[#This Row],[Previous Close]])*VelanPortfolio[[#This Row],[Quantity]])</f>
        <v>1762.5</v>
      </c>
      <c r="I20" s="23">
        <f>IFERROR((VelanPortfolio[[#This Row],[CMP]]-VelanPortfolio[[#This Row],[Buy Price]])/VelanPortfolio[[#This Row],[Buy Price]],"")</f>
        <v>-5.1895988357724991E-3</v>
      </c>
      <c r="J20" s="14">
        <f>IF(OR(VelanPortfolio[[#This Row],[CMP]]="",VelanPortfolio[[#This Row],[Buy Price]]="",VelanPortfolio[[#This Row],[Quantity]]=""),"",(VelanPortfolio[[#This Row],[CMP]]-VelanPortfolio[[#This Row],[Buy Price]])*VelanPortfolio[[#This Row],[Quantity]])</f>
        <v>-283.49999999999795</v>
      </c>
    </row>
    <row r="21" spans="1:10" ht="13" x14ac:dyDescent="0.3">
      <c r="A21" s="18" t="s">
        <v>53</v>
      </c>
      <c r="B21" s="19" t="s">
        <v>93</v>
      </c>
      <c r="C21" s="20">
        <v>328.71</v>
      </c>
      <c r="D21" s="21">
        <v>258</v>
      </c>
      <c r="E21" s="20">
        <v>464.35</v>
      </c>
      <c r="F21" s="20">
        <v>446</v>
      </c>
      <c r="G21" s="22">
        <f>IFERROR((VelanPortfolio[[#This Row],[CMP]]-VelanPortfolio[[#This Row],[Previous Close]])/VelanPortfolio[[#This Row],[Previous Close]],"")</f>
        <v>-3.9517605254657091E-2</v>
      </c>
      <c r="H21" s="20">
        <f>IF(OR(VelanPortfolio[[#This Row],[CMP]]="",VelanPortfolio[[#This Row],[Previous Close]]="",VelanPortfolio[[#This Row],[Quantity]]=""),"",(VelanPortfolio[[#This Row],[CMP]]-VelanPortfolio[[#This Row],[Previous Close]])*VelanPortfolio[[#This Row],[Quantity]])</f>
        <v>-4734.3000000000056</v>
      </c>
      <c r="I21" s="23">
        <f>IFERROR((VelanPortfolio[[#This Row],[CMP]]-VelanPortfolio[[#This Row],[Buy Price]])/VelanPortfolio[[#This Row],[Buy Price]],"")</f>
        <v>0.35681908064859613</v>
      </c>
      <c r="J21" s="14">
        <f>IF(OR(VelanPortfolio[[#This Row],[CMP]]="",VelanPortfolio[[#This Row],[Buy Price]]="",VelanPortfolio[[#This Row],[Quantity]]=""),"",(VelanPortfolio[[#This Row],[CMP]]-VelanPortfolio[[#This Row],[Buy Price]])*VelanPortfolio[[#This Row],[Quantity]])</f>
        <v>30260.820000000007</v>
      </c>
    </row>
    <row r="22" spans="1:10" ht="12" customHeight="1" x14ac:dyDescent="0.25">
      <c r="C22" s="2"/>
      <c r="D22" s="2"/>
      <c r="E22" s="2"/>
      <c r="F22" s="1"/>
      <c r="G22" s="3"/>
      <c r="H22" s="3"/>
    </row>
    <row r="23" spans="1:10" ht="12" customHeight="1" x14ac:dyDescent="0.25">
      <c r="C23" s="2"/>
      <c r="D23" s="2"/>
      <c r="E23" s="2"/>
      <c r="F23" s="1"/>
      <c r="G23" s="3"/>
      <c r="H23" s="3"/>
    </row>
    <row r="24" spans="1:10" ht="12" customHeight="1" x14ac:dyDescent="0.25">
      <c r="C24" s="2"/>
      <c r="D24" s="2"/>
      <c r="E24" s="2"/>
      <c r="F24" s="1"/>
      <c r="G24" s="3"/>
      <c r="H24" s="3"/>
    </row>
    <row r="25" spans="1:10" ht="12" customHeight="1" x14ac:dyDescent="0.25">
      <c r="C25" s="2"/>
      <c r="D25" s="2"/>
      <c r="E25" s="2"/>
      <c r="F25" s="1"/>
      <c r="G25" s="3"/>
      <c r="H25" s="3"/>
    </row>
    <row r="26" spans="1:10" ht="12" customHeight="1" x14ac:dyDescent="0.25">
      <c r="C26" s="2"/>
      <c r="D26" s="2"/>
      <c r="E26" s="2"/>
      <c r="F26" s="1"/>
      <c r="G26" s="3"/>
      <c r="H26" s="3"/>
    </row>
    <row r="27" spans="1:10" ht="12" customHeight="1" x14ac:dyDescent="0.25">
      <c r="C27" s="2"/>
      <c r="D27" s="2"/>
      <c r="E27" s="2"/>
      <c r="F27" s="1"/>
      <c r="G27" s="3"/>
      <c r="H27" s="3"/>
    </row>
    <row r="28" spans="1:10" ht="12" customHeight="1" x14ac:dyDescent="0.25">
      <c r="C28" s="2"/>
      <c r="D28" s="2"/>
      <c r="E28" s="2"/>
      <c r="F28" s="1"/>
      <c r="G28" s="3"/>
      <c r="H28" s="3"/>
    </row>
    <row r="29" spans="1:10" ht="12" customHeight="1" x14ac:dyDescent="0.25">
      <c r="C29" s="2"/>
      <c r="D29" s="2"/>
      <c r="E29" s="2"/>
      <c r="F29" s="1"/>
      <c r="G29" s="3"/>
      <c r="H29" s="3"/>
    </row>
    <row r="30" spans="1:10" ht="12" customHeight="1" x14ac:dyDescent="0.25">
      <c r="C30" s="2"/>
      <c r="D30" s="2"/>
      <c r="E30" s="2"/>
      <c r="F30" s="1"/>
      <c r="G30" s="3"/>
      <c r="H30" s="3"/>
    </row>
    <row r="31" spans="1:10" ht="12" customHeight="1" x14ac:dyDescent="0.25">
      <c r="C31" s="2"/>
      <c r="D31" s="2"/>
      <c r="E31" s="2"/>
      <c r="F31" s="1"/>
      <c r="G31" s="3"/>
      <c r="H31" s="3"/>
    </row>
    <row r="32" spans="1:10" ht="12" customHeight="1" x14ac:dyDescent="0.25">
      <c r="C32" s="2"/>
      <c r="D32" s="2"/>
      <c r="E32" s="2"/>
      <c r="F32" s="1"/>
      <c r="G32" s="3"/>
      <c r="H32" s="3"/>
    </row>
    <row r="33" spans="3:8" ht="12" customHeight="1" x14ac:dyDescent="0.25">
      <c r="C33" s="2"/>
      <c r="D33" s="2"/>
      <c r="E33" s="2"/>
      <c r="F33" s="1"/>
      <c r="G33" s="3"/>
      <c r="H33" s="3"/>
    </row>
    <row r="34" spans="3:8" ht="12" customHeight="1" x14ac:dyDescent="0.25">
      <c r="C34" s="2"/>
      <c r="D34" s="2"/>
      <c r="E34" s="2"/>
      <c r="F34" s="1"/>
      <c r="G34" s="3"/>
      <c r="H34" s="3"/>
    </row>
    <row r="35" spans="3:8" ht="12" customHeight="1" x14ac:dyDescent="0.25">
      <c r="C35" s="2"/>
      <c r="D35" s="2"/>
      <c r="E35" s="2"/>
      <c r="F35" s="1"/>
      <c r="G35" s="3"/>
      <c r="H35" s="3"/>
    </row>
    <row r="36" spans="3:8" ht="12" customHeight="1" x14ac:dyDescent="0.25">
      <c r="C36" s="2"/>
      <c r="D36" s="2"/>
      <c r="E36" s="2"/>
      <c r="F36" s="1"/>
      <c r="G36" s="3"/>
      <c r="H36" s="3"/>
    </row>
    <row r="37" spans="3:8" ht="12" customHeight="1" x14ac:dyDescent="0.25">
      <c r="C37" s="2"/>
      <c r="D37" s="2"/>
      <c r="E37" s="2"/>
      <c r="F37" s="1"/>
      <c r="G37" s="3"/>
      <c r="H37" s="3"/>
    </row>
    <row r="38" spans="3:8" ht="12" customHeight="1" x14ac:dyDescent="0.25">
      <c r="C38" s="2"/>
      <c r="D38" s="2"/>
      <c r="E38" s="2"/>
      <c r="F38" s="1"/>
      <c r="G38" s="3"/>
      <c r="H38" s="3"/>
    </row>
    <row r="39" spans="3:8" ht="12" customHeight="1" x14ac:dyDescent="0.25">
      <c r="C39" s="2"/>
      <c r="D39" s="2"/>
      <c r="E39" s="2"/>
      <c r="F39" s="1"/>
      <c r="G39" s="3"/>
      <c r="H39" s="3"/>
    </row>
    <row r="40" spans="3:8" ht="12" customHeight="1" x14ac:dyDescent="0.25">
      <c r="C40" s="2"/>
      <c r="D40" s="2"/>
      <c r="E40" s="2"/>
      <c r="F40" s="1"/>
      <c r="G40" s="3"/>
      <c r="H40" s="3"/>
    </row>
    <row r="41" spans="3:8" ht="12" customHeight="1" x14ac:dyDescent="0.25">
      <c r="C41" s="2"/>
      <c r="D41" s="2"/>
      <c r="E41" s="2"/>
      <c r="F41" s="1"/>
      <c r="G41" s="3"/>
      <c r="H41" s="3"/>
    </row>
    <row r="42" spans="3:8" ht="12" customHeight="1" x14ac:dyDescent="0.25">
      <c r="C42" s="2"/>
      <c r="D42" s="2"/>
      <c r="E42" s="2"/>
      <c r="F42" s="1"/>
      <c r="G42" s="3"/>
      <c r="H42" s="3"/>
    </row>
    <row r="43" spans="3:8" ht="12" customHeight="1" x14ac:dyDescent="0.25">
      <c r="C43" s="2"/>
      <c r="D43" s="2"/>
      <c r="E43" s="2"/>
      <c r="F43" s="1"/>
      <c r="G43" s="3"/>
      <c r="H43" s="3"/>
    </row>
    <row r="44" spans="3:8" ht="12" customHeight="1" x14ac:dyDescent="0.25">
      <c r="C44" s="2"/>
      <c r="D44" s="2"/>
      <c r="E44" s="2"/>
      <c r="F44" s="1"/>
      <c r="G44" s="3"/>
      <c r="H44" s="3"/>
    </row>
    <row r="45" spans="3:8" ht="12" customHeight="1" x14ac:dyDescent="0.25">
      <c r="C45" s="2"/>
      <c r="D45" s="2"/>
      <c r="E45" s="2"/>
      <c r="F45" s="1"/>
      <c r="G45" s="3"/>
      <c r="H45" s="3"/>
    </row>
    <row r="46" spans="3:8" ht="12" customHeight="1" x14ac:dyDescent="0.25">
      <c r="C46" s="2"/>
      <c r="D46" s="2"/>
      <c r="E46" s="2"/>
      <c r="F46" s="1"/>
      <c r="G46" s="3"/>
      <c r="H46" s="3"/>
    </row>
    <row r="47" spans="3:8" ht="12" customHeight="1" x14ac:dyDescent="0.25">
      <c r="C47" s="2"/>
      <c r="D47" s="2"/>
      <c r="E47" s="2"/>
      <c r="F47" s="1"/>
      <c r="G47" s="3"/>
      <c r="H47" s="3"/>
    </row>
    <row r="48" spans="3:8" ht="12" customHeight="1" x14ac:dyDescent="0.25">
      <c r="C48" s="2"/>
      <c r="D48" s="2"/>
      <c r="E48" s="2"/>
      <c r="F48" s="1"/>
      <c r="G48" s="3"/>
      <c r="H48" s="3"/>
    </row>
    <row r="49" spans="3:8" ht="12" customHeight="1" x14ac:dyDescent="0.25">
      <c r="C49" s="2"/>
      <c r="D49" s="2"/>
      <c r="E49" s="2"/>
      <c r="F49" s="1"/>
      <c r="G49" s="3"/>
      <c r="H49" s="3"/>
    </row>
    <row r="50" spans="3:8" ht="12" customHeight="1" x14ac:dyDescent="0.25">
      <c r="C50" s="2"/>
      <c r="D50" s="2"/>
      <c r="E50" s="2"/>
      <c r="F50" s="1"/>
      <c r="G50" s="3"/>
      <c r="H50" s="3"/>
    </row>
    <row r="51" spans="3:8" ht="12" customHeight="1" x14ac:dyDescent="0.25">
      <c r="C51" s="2"/>
      <c r="D51" s="2"/>
      <c r="E51" s="2"/>
      <c r="F51" s="1"/>
      <c r="G51" s="3"/>
      <c r="H51" s="3"/>
    </row>
    <row r="52" spans="3:8" ht="12" customHeight="1" x14ac:dyDescent="0.25">
      <c r="C52" s="2"/>
      <c r="D52" s="2"/>
      <c r="E52" s="2"/>
      <c r="F52" s="1"/>
      <c r="G52" s="3"/>
      <c r="H52" s="3"/>
    </row>
    <row r="53" spans="3:8" ht="12" customHeight="1" x14ac:dyDescent="0.25">
      <c r="C53" s="2"/>
      <c r="D53" s="2"/>
      <c r="E53" s="2"/>
      <c r="F53" s="1"/>
      <c r="G53" s="3"/>
      <c r="H53" s="3"/>
    </row>
    <row r="54" spans="3:8" ht="12" customHeight="1" x14ac:dyDescent="0.25">
      <c r="C54" s="2"/>
      <c r="D54" s="2"/>
      <c r="E54" s="2"/>
      <c r="F54" s="1"/>
      <c r="G54" s="3"/>
      <c r="H54" s="3"/>
    </row>
    <row r="55" spans="3:8" ht="12" customHeight="1" x14ac:dyDescent="0.25">
      <c r="C55" s="2"/>
      <c r="D55" s="2"/>
      <c r="E55" s="2"/>
      <c r="F55" s="1"/>
      <c r="G55" s="3"/>
      <c r="H55" s="3"/>
    </row>
    <row r="56" spans="3:8" ht="12" customHeight="1" x14ac:dyDescent="0.25">
      <c r="C56" s="2"/>
      <c r="D56" s="2"/>
      <c r="E56" s="2"/>
      <c r="F56" s="1"/>
      <c r="G56" s="3"/>
      <c r="H56" s="3"/>
    </row>
    <row r="57" spans="3:8" ht="12" customHeight="1" x14ac:dyDescent="0.25">
      <c r="C57" s="2"/>
      <c r="D57" s="2"/>
      <c r="E57" s="2"/>
      <c r="F57" s="1"/>
      <c r="G57" s="3"/>
      <c r="H57" s="3"/>
    </row>
    <row r="58" spans="3:8" ht="12" customHeight="1" x14ac:dyDescent="0.25">
      <c r="C58" s="2"/>
      <c r="D58" s="2"/>
      <c r="E58" s="2"/>
      <c r="F58" s="1"/>
      <c r="G58" s="3"/>
      <c r="H58" s="3"/>
    </row>
    <row r="59" spans="3:8" ht="12" customHeight="1" x14ac:dyDescent="0.25">
      <c r="C59" s="2"/>
      <c r="D59" s="2"/>
      <c r="E59" s="2"/>
      <c r="F59" s="1"/>
      <c r="G59" s="3"/>
      <c r="H59" s="3"/>
    </row>
    <row r="60" spans="3:8" ht="12" customHeight="1" x14ac:dyDescent="0.25">
      <c r="C60" s="2"/>
      <c r="D60" s="2"/>
      <c r="E60" s="2"/>
      <c r="F60" s="1"/>
      <c r="G60" s="3"/>
      <c r="H60" s="3"/>
    </row>
    <row r="61" spans="3:8" ht="12" customHeight="1" x14ac:dyDescent="0.25">
      <c r="C61" s="2"/>
      <c r="D61" s="2"/>
      <c r="E61" s="2"/>
      <c r="F61" s="1"/>
      <c r="G61" s="3"/>
      <c r="H61" s="3"/>
    </row>
    <row r="62" spans="3:8" ht="12" customHeight="1" x14ac:dyDescent="0.25">
      <c r="C62" s="2"/>
      <c r="D62" s="2"/>
      <c r="E62" s="2"/>
      <c r="F62" s="1"/>
      <c r="G62" s="3"/>
      <c r="H62" s="3"/>
    </row>
    <row r="63" spans="3:8" ht="12" customHeight="1" x14ac:dyDescent="0.25">
      <c r="C63" s="2"/>
      <c r="D63" s="2"/>
      <c r="E63" s="2"/>
      <c r="F63" s="1"/>
      <c r="G63" s="3"/>
      <c r="H63" s="3"/>
    </row>
    <row r="64" spans="3:8" ht="12" customHeight="1" x14ac:dyDescent="0.25">
      <c r="C64" s="2"/>
      <c r="D64" s="2"/>
      <c r="E64" s="2"/>
      <c r="F64" s="1"/>
      <c r="G64" s="3"/>
      <c r="H64" s="3"/>
    </row>
    <row r="65" spans="3:8" ht="12" customHeight="1" x14ac:dyDescent="0.25">
      <c r="C65" s="2"/>
      <c r="D65" s="2"/>
      <c r="E65" s="2"/>
      <c r="F65" s="1"/>
      <c r="G65" s="3"/>
      <c r="H65" s="3"/>
    </row>
    <row r="66" spans="3:8" ht="12" customHeight="1" x14ac:dyDescent="0.25">
      <c r="C66" s="2"/>
      <c r="D66" s="2"/>
      <c r="E66" s="2"/>
      <c r="F66" s="1"/>
      <c r="G66" s="3"/>
      <c r="H66" s="3"/>
    </row>
    <row r="67" spans="3:8" ht="12" customHeight="1" x14ac:dyDescent="0.25">
      <c r="C67" s="2"/>
      <c r="D67" s="2"/>
      <c r="E67" s="2"/>
      <c r="F67" s="1"/>
      <c r="G67" s="3"/>
      <c r="H67" s="3"/>
    </row>
    <row r="68" spans="3:8" ht="12" customHeight="1" x14ac:dyDescent="0.25">
      <c r="C68" s="2"/>
      <c r="D68" s="2"/>
      <c r="E68" s="2"/>
      <c r="F68" s="1"/>
      <c r="G68" s="3"/>
      <c r="H68" s="3"/>
    </row>
    <row r="69" spans="3:8" ht="12" customHeight="1" x14ac:dyDescent="0.25">
      <c r="C69" s="2"/>
      <c r="D69" s="2"/>
      <c r="E69" s="2"/>
      <c r="F69" s="1"/>
      <c r="G69" s="3"/>
      <c r="H69" s="3"/>
    </row>
    <row r="70" spans="3:8" ht="12" customHeight="1" x14ac:dyDescent="0.25">
      <c r="C70" s="2"/>
      <c r="D70" s="2"/>
      <c r="E70" s="2"/>
      <c r="F70" s="1"/>
      <c r="G70" s="3"/>
      <c r="H70" s="3"/>
    </row>
    <row r="71" spans="3:8" ht="12" customHeight="1" x14ac:dyDescent="0.25">
      <c r="C71" s="2"/>
      <c r="D71" s="2"/>
      <c r="E71" s="2"/>
      <c r="F71" s="1"/>
      <c r="G71" s="3"/>
      <c r="H71" s="3"/>
    </row>
    <row r="72" spans="3:8" ht="12" customHeight="1" x14ac:dyDescent="0.25">
      <c r="C72" s="2"/>
      <c r="D72" s="2"/>
      <c r="E72" s="2"/>
      <c r="F72" s="1"/>
      <c r="G72" s="3"/>
      <c r="H72" s="3"/>
    </row>
    <row r="73" spans="3:8" ht="12" customHeight="1" x14ac:dyDescent="0.25">
      <c r="C73" s="2"/>
      <c r="D73" s="2"/>
      <c r="E73" s="2"/>
      <c r="F73" s="1"/>
      <c r="G73" s="3"/>
      <c r="H73" s="3"/>
    </row>
    <row r="74" spans="3:8" ht="12" customHeight="1" x14ac:dyDescent="0.25">
      <c r="C74" s="2"/>
      <c r="D74" s="2"/>
      <c r="E74" s="2"/>
      <c r="F74" s="1"/>
      <c r="G74" s="3"/>
      <c r="H74" s="3"/>
    </row>
    <row r="75" spans="3:8" ht="12" customHeight="1" x14ac:dyDescent="0.25">
      <c r="C75" s="2"/>
      <c r="D75" s="2"/>
      <c r="E75" s="2"/>
      <c r="F75" s="1"/>
      <c r="G75" s="3"/>
      <c r="H75" s="3"/>
    </row>
    <row r="76" spans="3:8" ht="12" customHeight="1" x14ac:dyDescent="0.25">
      <c r="C76" s="2"/>
      <c r="D76" s="2"/>
      <c r="E76" s="2"/>
      <c r="F76" s="1"/>
      <c r="G76" s="3"/>
      <c r="H76" s="3"/>
    </row>
    <row r="77" spans="3:8" ht="12" customHeight="1" x14ac:dyDescent="0.25">
      <c r="C77" s="2"/>
      <c r="D77" s="2"/>
      <c r="E77" s="2"/>
      <c r="F77" s="1"/>
      <c r="G77" s="3"/>
      <c r="H77" s="3"/>
    </row>
    <row r="78" spans="3:8" ht="12" customHeight="1" x14ac:dyDescent="0.25">
      <c r="C78" s="2"/>
      <c r="D78" s="2"/>
      <c r="E78" s="2"/>
      <c r="F78" s="1"/>
      <c r="G78" s="3"/>
      <c r="H78" s="3"/>
    </row>
    <row r="79" spans="3:8" ht="12" customHeight="1" x14ac:dyDescent="0.25">
      <c r="C79" s="2"/>
      <c r="D79" s="2"/>
      <c r="E79" s="2"/>
      <c r="F79" s="1"/>
      <c r="G79" s="3"/>
      <c r="H79" s="3"/>
    </row>
    <row r="80" spans="3:8" ht="12" customHeight="1" x14ac:dyDescent="0.25">
      <c r="C80" s="2"/>
      <c r="D80" s="2"/>
      <c r="E80" s="2"/>
      <c r="F80" s="1"/>
      <c r="G80" s="3"/>
      <c r="H80" s="3"/>
    </row>
    <row r="81" spans="3:8" ht="12" customHeight="1" x14ac:dyDescent="0.25">
      <c r="C81" s="2"/>
      <c r="D81" s="2"/>
      <c r="E81" s="2"/>
      <c r="F81" s="1"/>
      <c r="G81" s="3"/>
      <c r="H81" s="3"/>
    </row>
    <row r="82" spans="3:8" ht="12" customHeight="1" x14ac:dyDescent="0.25">
      <c r="C82" s="2"/>
      <c r="D82" s="2"/>
      <c r="E82" s="2"/>
      <c r="F82" s="1"/>
      <c r="G82" s="3"/>
      <c r="H82" s="3"/>
    </row>
    <row r="83" spans="3:8" ht="12" customHeight="1" x14ac:dyDescent="0.25">
      <c r="C83" s="2"/>
      <c r="D83" s="2"/>
      <c r="E83" s="2"/>
      <c r="F83" s="1"/>
      <c r="G83" s="3"/>
      <c r="H83" s="3"/>
    </row>
    <row r="84" spans="3:8" ht="12" customHeight="1" x14ac:dyDescent="0.25">
      <c r="C84" s="2"/>
      <c r="D84" s="2"/>
      <c r="E84" s="2"/>
      <c r="F84" s="1"/>
      <c r="G84" s="3"/>
      <c r="H84" s="3"/>
    </row>
    <row r="85" spans="3:8" ht="12" customHeight="1" x14ac:dyDescent="0.25">
      <c r="C85" s="2"/>
      <c r="D85" s="2"/>
      <c r="E85" s="2"/>
      <c r="F85" s="1"/>
      <c r="G85" s="3"/>
      <c r="H85" s="3"/>
    </row>
    <row r="86" spans="3:8" ht="12" customHeight="1" x14ac:dyDescent="0.25">
      <c r="C86" s="2"/>
      <c r="D86" s="2"/>
      <c r="E86" s="2"/>
      <c r="F86" s="1"/>
      <c r="G86" s="3"/>
      <c r="H86" s="3"/>
    </row>
    <row r="87" spans="3:8" ht="12" customHeight="1" x14ac:dyDescent="0.25">
      <c r="C87" s="2"/>
      <c r="D87" s="2"/>
      <c r="E87" s="2"/>
      <c r="F87" s="1"/>
      <c r="G87" s="3"/>
      <c r="H87" s="3"/>
    </row>
    <row r="88" spans="3:8" ht="12" customHeight="1" x14ac:dyDescent="0.25">
      <c r="C88" s="2"/>
      <c r="D88" s="2"/>
      <c r="E88" s="2"/>
      <c r="F88" s="1"/>
      <c r="G88" s="3"/>
      <c r="H88" s="3"/>
    </row>
    <row r="89" spans="3:8" ht="12" customHeight="1" x14ac:dyDescent="0.25">
      <c r="C89" s="2"/>
      <c r="D89" s="2"/>
      <c r="E89" s="2"/>
      <c r="F89" s="1"/>
      <c r="G89" s="3"/>
      <c r="H89" s="3"/>
    </row>
    <row r="90" spans="3:8" ht="12" customHeight="1" x14ac:dyDescent="0.25">
      <c r="C90" s="2"/>
      <c r="D90" s="2"/>
      <c r="E90" s="2"/>
      <c r="F90" s="1"/>
      <c r="G90" s="3"/>
      <c r="H90" s="3"/>
    </row>
    <row r="91" spans="3:8" ht="12" customHeight="1" x14ac:dyDescent="0.25">
      <c r="C91" s="2"/>
      <c r="D91" s="2"/>
      <c r="E91" s="2"/>
      <c r="F91" s="1"/>
      <c r="G91" s="3"/>
      <c r="H91" s="3"/>
    </row>
    <row r="92" spans="3:8" ht="12" customHeight="1" x14ac:dyDescent="0.25">
      <c r="C92" s="2"/>
      <c r="D92" s="2"/>
      <c r="E92" s="2"/>
      <c r="F92" s="1"/>
      <c r="G92" s="3"/>
      <c r="H92" s="3"/>
    </row>
    <row r="93" spans="3:8" ht="12" customHeight="1" x14ac:dyDescent="0.25">
      <c r="C93" s="2"/>
      <c r="D93" s="2"/>
      <c r="E93" s="2"/>
      <c r="F93" s="1"/>
      <c r="G93" s="3"/>
      <c r="H93" s="3"/>
    </row>
    <row r="94" spans="3:8" ht="12" customHeight="1" x14ac:dyDescent="0.25">
      <c r="C94" s="2"/>
      <c r="D94" s="2"/>
      <c r="E94" s="2"/>
      <c r="F94" s="1"/>
      <c r="G94" s="3"/>
      <c r="H94" s="3"/>
    </row>
    <row r="95" spans="3:8" ht="12" customHeight="1" x14ac:dyDescent="0.25">
      <c r="C95" s="2"/>
      <c r="D95" s="2"/>
      <c r="E95" s="2"/>
      <c r="F95" s="1"/>
      <c r="G95" s="3"/>
      <c r="H95" s="3"/>
    </row>
    <row r="96" spans="3:8" ht="12" customHeight="1" x14ac:dyDescent="0.25">
      <c r="C96" s="2"/>
      <c r="D96" s="2"/>
      <c r="E96" s="2"/>
      <c r="F96" s="1"/>
      <c r="G96" s="3"/>
      <c r="H96" s="3"/>
    </row>
    <row r="97" spans="3:8" ht="12" customHeight="1" x14ac:dyDescent="0.25">
      <c r="C97" s="2"/>
      <c r="D97" s="2"/>
      <c r="E97" s="2"/>
      <c r="F97" s="1"/>
      <c r="G97" s="3"/>
      <c r="H97" s="3"/>
    </row>
    <row r="98" spans="3:8" ht="12" customHeight="1" x14ac:dyDescent="0.25">
      <c r="C98" s="2"/>
      <c r="D98" s="2"/>
      <c r="E98" s="2"/>
      <c r="F98" s="1"/>
      <c r="G98" s="3"/>
      <c r="H98" s="3"/>
    </row>
    <row r="99" spans="3:8" ht="12" customHeight="1" x14ac:dyDescent="0.25">
      <c r="C99" s="2"/>
      <c r="D99" s="2"/>
      <c r="E99" s="2"/>
      <c r="F99" s="1"/>
      <c r="G99" s="3"/>
      <c r="H99" s="3"/>
    </row>
    <row r="100" spans="3:8" ht="12" customHeight="1" x14ac:dyDescent="0.25">
      <c r="C100" s="2"/>
      <c r="D100" s="2"/>
      <c r="E100" s="2"/>
      <c r="F100" s="1"/>
      <c r="G100" s="3"/>
      <c r="H100" s="3"/>
    </row>
    <row r="101" spans="3:8" ht="12" customHeight="1" x14ac:dyDescent="0.25">
      <c r="C101" s="2"/>
      <c r="D101" s="2"/>
      <c r="E101" s="2"/>
      <c r="F101" s="1"/>
      <c r="G101" s="3"/>
      <c r="H101" s="3"/>
    </row>
    <row r="102" spans="3:8" ht="12" customHeight="1" x14ac:dyDescent="0.25">
      <c r="C102" s="2"/>
      <c r="D102" s="2"/>
      <c r="E102" s="2"/>
      <c r="F102" s="1"/>
      <c r="G102" s="3"/>
      <c r="H102" s="3"/>
    </row>
    <row r="103" spans="3:8" ht="12" customHeight="1" x14ac:dyDescent="0.25">
      <c r="C103" s="2"/>
      <c r="D103" s="2"/>
      <c r="E103" s="2"/>
      <c r="F103" s="1"/>
      <c r="G103" s="3"/>
      <c r="H103" s="3"/>
    </row>
    <row r="104" spans="3:8" ht="12" customHeight="1" x14ac:dyDescent="0.25">
      <c r="C104" s="2"/>
      <c r="D104" s="2"/>
      <c r="E104" s="2"/>
      <c r="F104" s="1"/>
      <c r="G104" s="3"/>
      <c r="H104" s="3"/>
    </row>
    <row r="105" spans="3:8" ht="12" customHeight="1" x14ac:dyDescent="0.25">
      <c r="C105" s="2"/>
      <c r="D105" s="2"/>
      <c r="E105" s="2"/>
      <c r="F105" s="1"/>
      <c r="G105" s="3"/>
      <c r="H105" s="3"/>
    </row>
    <row r="106" spans="3:8" ht="12" customHeight="1" x14ac:dyDescent="0.25">
      <c r="C106" s="2"/>
      <c r="D106" s="2"/>
      <c r="E106" s="2"/>
      <c r="F106" s="1"/>
      <c r="G106" s="3"/>
      <c r="H106" s="3"/>
    </row>
    <row r="107" spans="3:8" ht="12" customHeight="1" x14ac:dyDescent="0.25">
      <c r="C107" s="2"/>
      <c r="D107" s="2"/>
      <c r="E107" s="2"/>
      <c r="F107" s="1"/>
      <c r="G107" s="3"/>
      <c r="H107" s="3"/>
    </row>
    <row r="108" spans="3:8" ht="12" customHeight="1" x14ac:dyDescent="0.25">
      <c r="C108" s="2"/>
      <c r="D108" s="2"/>
      <c r="E108" s="2"/>
      <c r="F108" s="1"/>
      <c r="G108" s="3"/>
      <c r="H108" s="3"/>
    </row>
    <row r="109" spans="3:8" ht="12" customHeight="1" x14ac:dyDescent="0.25">
      <c r="C109" s="2"/>
      <c r="D109" s="2"/>
      <c r="E109" s="2"/>
      <c r="F109" s="1"/>
      <c r="G109" s="3"/>
      <c r="H109" s="3"/>
    </row>
    <row r="110" spans="3:8" ht="12" customHeight="1" x14ac:dyDescent="0.25">
      <c r="C110" s="2"/>
      <c r="D110" s="2"/>
      <c r="E110" s="2"/>
      <c r="F110" s="1"/>
      <c r="G110" s="3"/>
      <c r="H110" s="3"/>
    </row>
    <row r="111" spans="3:8" ht="12" customHeight="1" x14ac:dyDescent="0.25">
      <c r="C111" s="2"/>
      <c r="D111" s="2"/>
      <c r="E111" s="2"/>
      <c r="F111" s="1"/>
      <c r="G111" s="3"/>
      <c r="H111" s="3"/>
    </row>
    <row r="112" spans="3:8" ht="12" customHeight="1" x14ac:dyDescent="0.25">
      <c r="C112" s="2"/>
      <c r="D112" s="2"/>
      <c r="E112" s="2"/>
      <c r="F112" s="1"/>
      <c r="G112" s="3"/>
      <c r="H112" s="3"/>
    </row>
    <row r="113" spans="3:8" ht="12" customHeight="1" x14ac:dyDescent="0.25">
      <c r="C113" s="2"/>
      <c r="D113" s="2"/>
      <c r="E113" s="2"/>
      <c r="F113" s="1"/>
      <c r="G113" s="3"/>
      <c r="H113" s="3"/>
    </row>
    <row r="114" spans="3:8" ht="12" customHeight="1" x14ac:dyDescent="0.25">
      <c r="C114" s="2"/>
      <c r="D114" s="2"/>
      <c r="E114" s="2"/>
      <c r="F114" s="1"/>
      <c r="G114" s="3"/>
      <c r="H114" s="3"/>
    </row>
    <row r="115" spans="3:8" ht="12" customHeight="1" x14ac:dyDescent="0.25">
      <c r="C115" s="2"/>
      <c r="D115" s="2"/>
      <c r="E115" s="2"/>
      <c r="F115" s="1"/>
      <c r="G115" s="3"/>
      <c r="H115" s="3"/>
    </row>
    <row r="116" spans="3:8" ht="12" customHeight="1" x14ac:dyDescent="0.25">
      <c r="C116" s="2"/>
      <c r="D116" s="2"/>
      <c r="E116" s="2"/>
      <c r="F116" s="1"/>
      <c r="G116" s="3"/>
      <c r="H116" s="3"/>
    </row>
    <row r="117" spans="3:8" ht="12" customHeight="1" x14ac:dyDescent="0.25"/>
    <row r="118" spans="3:8" ht="12" customHeight="1" x14ac:dyDescent="0.25"/>
    <row r="119" spans="3:8" ht="12" customHeight="1" x14ac:dyDescent="0.25"/>
    <row r="120" spans="3:8" ht="12" customHeight="1" x14ac:dyDescent="0.25"/>
    <row r="121" spans="3:8" ht="12" customHeight="1" x14ac:dyDescent="0.25"/>
    <row r="122" spans="3:8" ht="12" customHeight="1" x14ac:dyDescent="0.25"/>
    <row r="123" spans="3:8" ht="12" customHeight="1" x14ac:dyDescent="0.25"/>
    <row r="124" spans="3:8" ht="12" customHeight="1" x14ac:dyDescent="0.25"/>
    <row r="125" spans="3:8" ht="12" customHeight="1" x14ac:dyDescent="0.25"/>
    <row r="126" spans="3:8" ht="12" customHeight="1" x14ac:dyDescent="0.25"/>
    <row r="127" spans="3:8" ht="12" customHeight="1" x14ac:dyDescent="0.25"/>
    <row r="128" spans="3: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sheetData>
  <customSheetViews>
    <customSheetView guid="{73C1CB1E-7CAF-4B71-A494-59BDB2890B38}" filter="1" showAutoFilter="1">
      <pageMargins left="0.7" right="0.7" top="0.75" bottom="0.75" header="0.3" footer="0.3"/>
      <autoFilter ref="A4:H21" xr:uid="{EEF3899A-1F4B-4DF7-AF5C-7473E59C65DA}"/>
      <extLst>
        <ext uri="GoogleSheetsCustomDataVersion1">
          <go:sheetsCustomData xmlns:go="http://customooxmlschemas.google.com/" filterViewId="626658831"/>
        </ext>
      </extLst>
    </customSheetView>
  </customSheetViews>
  <mergeCells count="2">
    <mergeCell ref="A1:J1"/>
    <mergeCell ref="A2:J2"/>
  </mergeCells>
  <phoneticPr fontId="2" type="noConversion"/>
  <conditionalFormatting sqref="H5:H21">
    <cfRule type="cellIs" dxfId="35" priority="1" operator="greaterThan">
      <formula>0</formula>
    </cfRule>
  </conditionalFormatting>
  <conditionalFormatting sqref="H5:H21">
    <cfRule type="cellIs" dxfId="34" priority="2" operator="lessThan">
      <formula>0</formula>
    </cfRule>
  </conditionalFormatting>
  <conditionalFormatting sqref="J5:J21">
    <cfRule type="cellIs" dxfId="33" priority="3" operator="greaterThan">
      <formula>0</formula>
    </cfRule>
  </conditionalFormatting>
  <conditionalFormatting sqref="J5:J21">
    <cfRule type="cellIs" dxfId="32" priority="4" operator="lessThan">
      <formula>0</formula>
    </cfRule>
  </conditionalFormatting>
  <pageMargins left="0.7" right="0.7" top="0.75" bottom="0.75" header="0" footer="0"/>
  <pageSetup orientation="landscape"/>
  <headerFooter>
    <oddHeader>&amp;L&amp;"Arial"&amp;9&amp;KA80000 CONFIDENTIAL&amp;1#_x000D_&amp;"Arial"&amp;10&amp;K000000A80000 CONFIDENTIAL#_x000D_</oddHead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J1002"/>
  <sheetViews>
    <sheetView workbookViewId="0">
      <pane xSplit="2" topLeftCell="F1" activePane="topRight" state="frozen"/>
      <selection pane="topRight" activeCell="K17" sqref="K17"/>
    </sheetView>
  </sheetViews>
  <sheetFormatPr defaultColWidth="12.6328125" defaultRowHeight="15" customHeight="1" x14ac:dyDescent="0.25"/>
  <cols>
    <col min="1" max="1" width="12.7265625" customWidth="1"/>
    <col min="2" max="2" width="36.36328125" customWidth="1"/>
    <col min="3" max="3" width="12.7265625" customWidth="1"/>
    <col min="4" max="4" width="10.90625" customWidth="1"/>
    <col min="5" max="5" width="14.54296875" customWidth="1"/>
    <col min="6" max="6" width="12.7265625" customWidth="1"/>
    <col min="7" max="7" width="11.81640625" customWidth="1"/>
    <col min="8" max="8" width="14.54296875" customWidth="1"/>
    <col min="9" max="9" width="11.81640625" customWidth="1"/>
    <col min="10" max="10" width="14.54296875" customWidth="1"/>
    <col min="11" max="26" width="8.6328125" customWidth="1"/>
  </cols>
  <sheetData>
    <row r="1" spans="1:10" ht="30" customHeight="1" x14ac:dyDescent="0.25">
      <c r="A1" s="24" t="s">
        <v>15</v>
      </c>
      <c r="B1" s="24"/>
      <c r="C1" s="24"/>
      <c r="D1" s="24"/>
      <c r="E1" s="24"/>
      <c r="F1" s="24"/>
      <c r="G1" s="24"/>
      <c r="H1" s="24"/>
      <c r="I1" s="24"/>
      <c r="J1" s="24"/>
    </row>
    <row r="2" spans="1:10" ht="22" customHeight="1" x14ac:dyDescent="0.25">
      <c r="A2" s="25" t="s">
        <v>94</v>
      </c>
      <c r="B2" s="25"/>
      <c r="C2" s="25"/>
      <c r="D2" s="25"/>
      <c r="E2" s="25"/>
      <c r="F2" s="25"/>
      <c r="G2" s="25"/>
      <c r="H2" s="25"/>
      <c r="I2" s="25"/>
      <c r="J2" s="25"/>
    </row>
    <row r="3" spans="1:10" ht="12" customHeight="1" x14ac:dyDescent="0.3">
      <c r="A3" s="7"/>
      <c r="B3" s="7"/>
      <c r="C3" s="7"/>
      <c r="D3" s="7"/>
      <c r="E3" s="7"/>
      <c r="F3" s="7"/>
      <c r="G3" s="7"/>
      <c r="H3" s="7"/>
      <c r="I3" s="7"/>
      <c r="J3" s="7"/>
    </row>
    <row r="4" spans="1:10" ht="30" customHeight="1" x14ac:dyDescent="0.3">
      <c r="A4" s="16" t="s">
        <v>16</v>
      </c>
      <c r="B4" s="16" t="s">
        <v>17</v>
      </c>
      <c r="C4" s="16" t="s">
        <v>18</v>
      </c>
      <c r="D4" s="16" t="s">
        <v>21</v>
      </c>
      <c r="E4" s="16" t="s">
        <v>19</v>
      </c>
      <c r="F4" s="16" t="s">
        <v>20</v>
      </c>
      <c r="G4" s="16" t="s">
        <v>75</v>
      </c>
      <c r="H4" s="16" t="s">
        <v>22</v>
      </c>
      <c r="I4" s="17" t="s">
        <v>76</v>
      </c>
      <c r="J4" s="17" t="s">
        <v>23</v>
      </c>
    </row>
    <row r="5" spans="1:10" ht="13" x14ac:dyDescent="0.3">
      <c r="A5" s="18" t="s">
        <v>24</v>
      </c>
      <c r="B5" s="19" t="s">
        <v>77</v>
      </c>
      <c r="C5" s="20">
        <v>612.26</v>
      </c>
      <c r="D5" s="21">
        <v>125</v>
      </c>
      <c r="E5" s="20">
        <v>587.79999999999995</v>
      </c>
      <c r="F5" s="20">
        <v>592.95000000000005</v>
      </c>
      <c r="G5" s="22">
        <f>IFERROR((PaviPortfolio[[#This Row],[CMP]]-PaviPortfolio[[#This Row],[Previous Close]])/PaviPortfolio[[#This Row],[Previous Close]],"")</f>
        <v>8.7614834977885192E-3</v>
      </c>
      <c r="H5" s="20">
        <f>IF(OR(PaviPortfolio[[#This Row],[CMP]]="",PaviPortfolio[[#This Row],[Previous Close]]="",PaviPortfolio[[#This Row],[Quantity]]=""),"",(PaviPortfolio[[#This Row],[CMP]]-PaviPortfolio[[#This Row],[Previous Close]])*PaviPortfolio[[#This Row],[Quantity]])</f>
        <v>643.75000000001137</v>
      </c>
      <c r="I5" s="23">
        <f>IFERROR((PaviPortfolio[[#This Row],[CMP]]-PaviPortfolio[[#This Row],[Buy Price]])/PaviPortfolio[[#This Row],[Buy Price]],"")</f>
        <v>-3.1538888707411797E-2</v>
      </c>
      <c r="J5" s="14">
        <f>IF(OR(PaviPortfolio[[#This Row],[CMP]]="",PaviPortfolio[[#This Row],[Buy Price]]="",PaviPortfolio[[#This Row],[Quantity]]=""),"",(PaviPortfolio[[#This Row],[CMP]]-PaviPortfolio[[#This Row],[Buy Price]])*PaviPortfolio[[#This Row],[Quantity]])</f>
        <v>-2413.7499999999932</v>
      </c>
    </row>
    <row r="6" spans="1:10" ht="13" x14ac:dyDescent="0.3">
      <c r="A6" s="18" t="s">
        <v>26</v>
      </c>
      <c r="B6" s="19" t="s">
        <v>95</v>
      </c>
      <c r="C6" s="20">
        <v>279.08</v>
      </c>
      <c r="D6" s="21">
        <v>380</v>
      </c>
      <c r="E6" s="20">
        <v>281.55</v>
      </c>
      <c r="F6" s="20">
        <v>279</v>
      </c>
      <c r="G6" s="22">
        <f>IFERROR((PaviPortfolio[[#This Row],[CMP]]-PaviPortfolio[[#This Row],[Previous Close]])/PaviPortfolio[[#This Row],[Previous Close]],"")</f>
        <v>-9.0570058604155963E-3</v>
      </c>
      <c r="H6" s="20">
        <f>IF(OR(PaviPortfolio[[#This Row],[CMP]]="",PaviPortfolio[[#This Row],[Previous Close]]="",PaviPortfolio[[#This Row],[Quantity]]=""),"",(PaviPortfolio[[#This Row],[CMP]]-PaviPortfolio[[#This Row],[Previous Close]])*PaviPortfolio[[#This Row],[Quantity]])</f>
        <v>-969.00000000000432</v>
      </c>
      <c r="I6" s="23">
        <f>IFERROR((PaviPortfolio[[#This Row],[CMP]]-PaviPortfolio[[#This Row],[Buy Price]])/PaviPortfolio[[#This Row],[Buy Price]],"")</f>
        <v>-2.8665615594089181E-4</v>
      </c>
      <c r="J6" s="14">
        <f>IF(OR(PaviPortfolio[[#This Row],[CMP]]="",PaviPortfolio[[#This Row],[Buy Price]]="",PaviPortfolio[[#This Row],[Quantity]]=""),"",(PaviPortfolio[[#This Row],[CMP]]-PaviPortfolio[[#This Row],[Buy Price]])*PaviPortfolio[[#This Row],[Quantity]])</f>
        <v>-30.399999999993952</v>
      </c>
    </row>
    <row r="7" spans="1:10" ht="13" x14ac:dyDescent="0.3">
      <c r="A7" s="18" t="s">
        <v>28</v>
      </c>
      <c r="B7" s="19" t="s">
        <v>96</v>
      </c>
      <c r="C7" s="20">
        <v>283.63</v>
      </c>
      <c r="D7" s="21">
        <v>111</v>
      </c>
      <c r="E7" s="20">
        <v>292.63</v>
      </c>
      <c r="F7" s="20">
        <v>288.01</v>
      </c>
      <c r="G7" s="22">
        <f>IFERROR((PaviPortfolio[[#This Row],[CMP]]-PaviPortfolio[[#This Row],[Previous Close]])/PaviPortfolio[[#This Row],[Previous Close]],"")</f>
        <v>-1.5787854970440503E-2</v>
      </c>
      <c r="H7" s="20">
        <f>IF(OR(PaviPortfolio[[#This Row],[CMP]]="",PaviPortfolio[[#This Row],[Previous Close]]="",PaviPortfolio[[#This Row],[Quantity]]=""),"",(PaviPortfolio[[#This Row],[CMP]]-PaviPortfolio[[#This Row],[Previous Close]])*PaviPortfolio[[#This Row],[Quantity]])</f>
        <v>-512.8200000000005</v>
      </c>
      <c r="I7" s="23">
        <f>IFERROR((PaviPortfolio[[#This Row],[CMP]]-PaviPortfolio[[#This Row],[Buy Price]])/PaviPortfolio[[#This Row],[Buy Price]],"")</f>
        <v>1.5442654162112596E-2</v>
      </c>
      <c r="J7" s="14">
        <f>IF(OR(PaviPortfolio[[#This Row],[CMP]]="",PaviPortfolio[[#This Row],[Buy Price]]="",PaviPortfolio[[#This Row],[Quantity]]=""),"",(PaviPortfolio[[#This Row],[CMP]]-PaviPortfolio[[#This Row],[Buy Price]])*PaviPortfolio[[#This Row],[Quantity]])</f>
        <v>486.1799999999995</v>
      </c>
    </row>
    <row r="8" spans="1:10" ht="13" x14ac:dyDescent="0.3">
      <c r="A8" s="18" t="s">
        <v>34</v>
      </c>
      <c r="B8" s="19" t="s">
        <v>97</v>
      </c>
      <c r="C8" s="20">
        <v>612.75</v>
      </c>
      <c r="D8" s="21">
        <v>111</v>
      </c>
      <c r="E8" s="20">
        <v>593.79</v>
      </c>
      <c r="F8" s="20">
        <v>593.42999999999995</v>
      </c>
      <c r="G8" s="22">
        <f>IFERROR((PaviPortfolio[[#This Row],[CMP]]-PaviPortfolio[[#This Row],[Previous Close]])/PaviPortfolio[[#This Row],[Previous Close]],"")</f>
        <v>-6.0627494568789243E-4</v>
      </c>
      <c r="H8" s="20">
        <f>IF(OR(PaviPortfolio[[#This Row],[CMP]]="",PaviPortfolio[[#This Row],[Previous Close]]="",PaviPortfolio[[#This Row],[Quantity]]=""),"",(PaviPortfolio[[#This Row],[CMP]]-PaviPortfolio[[#This Row],[Previous Close]])*PaviPortfolio[[#This Row],[Quantity]])</f>
        <v>-39.960000000001514</v>
      </c>
      <c r="I8" s="23">
        <f>IFERROR((PaviPortfolio[[#This Row],[CMP]]-PaviPortfolio[[#This Row],[Buy Price]])/PaviPortfolio[[#This Row],[Buy Price]],"")</f>
        <v>-3.1529987760098001E-2</v>
      </c>
      <c r="J8" s="14">
        <f>IF(OR(PaviPortfolio[[#This Row],[CMP]]="",PaviPortfolio[[#This Row],[Buy Price]]="",PaviPortfolio[[#This Row],[Quantity]]=""),"",(PaviPortfolio[[#This Row],[CMP]]-PaviPortfolio[[#This Row],[Buy Price]])*PaviPortfolio[[#This Row],[Quantity]])</f>
        <v>-2144.5200000000054</v>
      </c>
    </row>
    <row r="9" spans="1:10" ht="13" x14ac:dyDescent="0.3">
      <c r="A9" s="18" t="s">
        <v>36</v>
      </c>
      <c r="B9" s="19" t="s">
        <v>98</v>
      </c>
      <c r="C9" s="20">
        <v>417.17</v>
      </c>
      <c r="D9" s="21">
        <v>277</v>
      </c>
      <c r="E9" s="20">
        <v>401.6</v>
      </c>
      <c r="F9" s="20">
        <v>416.3</v>
      </c>
      <c r="G9" s="22">
        <f>IFERROR((PaviPortfolio[[#This Row],[CMP]]-PaviPortfolio[[#This Row],[Previous Close]])/PaviPortfolio[[#This Row],[Previous Close]],"")</f>
        <v>3.6603585657370485E-2</v>
      </c>
      <c r="H9" s="20">
        <f>IF(OR(PaviPortfolio[[#This Row],[CMP]]="",PaviPortfolio[[#This Row],[Previous Close]]="",PaviPortfolio[[#This Row],[Quantity]]=""),"",(PaviPortfolio[[#This Row],[CMP]]-PaviPortfolio[[#This Row],[Previous Close]])*PaviPortfolio[[#This Row],[Quantity]])</f>
        <v>4071.8999999999969</v>
      </c>
      <c r="I9" s="23">
        <f>IFERROR((PaviPortfolio[[#This Row],[CMP]]-PaviPortfolio[[#This Row],[Buy Price]])/PaviPortfolio[[#This Row],[Buy Price]],"")</f>
        <v>-2.0854807392669764E-3</v>
      </c>
      <c r="J9" s="14">
        <f>IF(OR(PaviPortfolio[[#This Row],[CMP]]="",PaviPortfolio[[#This Row],[Buy Price]]="",PaviPortfolio[[#This Row],[Quantity]]=""),"",(PaviPortfolio[[#This Row],[CMP]]-PaviPortfolio[[#This Row],[Buy Price]])*PaviPortfolio[[#This Row],[Quantity]])</f>
        <v>-240.99000000000126</v>
      </c>
    </row>
    <row r="10" spans="1:10" ht="13" x14ac:dyDescent="0.3">
      <c r="A10" s="18" t="s">
        <v>27</v>
      </c>
      <c r="B10" s="19" t="s">
        <v>79</v>
      </c>
      <c r="C10" s="20">
        <v>12907.29</v>
      </c>
      <c r="D10" s="21">
        <v>17</v>
      </c>
      <c r="E10" s="20">
        <v>14461</v>
      </c>
      <c r="F10" s="20">
        <v>14584</v>
      </c>
      <c r="G10" s="22">
        <f>IFERROR((PaviPortfolio[[#This Row],[CMP]]-PaviPortfolio[[#This Row],[Previous Close]])/PaviPortfolio[[#This Row],[Previous Close]],"")</f>
        <v>8.5056358481432823E-3</v>
      </c>
      <c r="H10" s="20">
        <f>IF(OR(PaviPortfolio[[#This Row],[CMP]]="",PaviPortfolio[[#This Row],[Previous Close]]="",PaviPortfolio[[#This Row],[Quantity]]=""),"",(PaviPortfolio[[#This Row],[CMP]]-PaviPortfolio[[#This Row],[Previous Close]])*PaviPortfolio[[#This Row],[Quantity]])</f>
        <v>2091</v>
      </c>
      <c r="I10" s="23">
        <f>IFERROR((PaviPortfolio[[#This Row],[CMP]]-PaviPortfolio[[#This Row],[Buy Price]])/PaviPortfolio[[#This Row],[Buy Price]],"")</f>
        <v>0.1299041084534398</v>
      </c>
      <c r="J10" s="14">
        <f>IF(OR(PaviPortfolio[[#This Row],[CMP]]="",PaviPortfolio[[#This Row],[Buy Price]]="",PaviPortfolio[[#This Row],[Quantity]]=""),"",(PaviPortfolio[[#This Row],[CMP]]-PaviPortfolio[[#This Row],[Buy Price]])*PaviPortfolio[[#This Row],[Quantity]])</f>
        <v>28504.069999999985</v>
      </c>
    </row>
    <row r="11" spans="1:10" ht="13" x14ac:dyDescent="0.3">
      <c r="A11" s="18" t="s">
        <v>42</v>
      </c>
      <c r="B11" s="19" t="s">
        <v>99</v>
      </c>
      <c r="C11" s="20">
        <v>86.88</v>
      </c>
      <c r="D11" s="21">
        <v>865</v>
      </c>
      <c r="E11" s="20">
        <v>125.34</v>
      </c>
      <c r="F11" s="20">
        <v>123.57</v>
      </c>
      <c r="G11" s="22">
        <f>IFERROR((PaviPortfolio[[#This Row],[CMP]]-PaviPortfolio[[#This Row],[Previous Close]])/PaviPortfolio[[#This Row],[Previous Close]],"")</f>
        <v>-1.412158927716619E-2</v>
      </c>
      <c r="H11" s="20">
        <f>IF(OR(PaviPortfolio[[#This Row],[CMP]]="",PaviPortfolio[[#This Row],[Previous Close]]="",PaviPortfolio[[#This Row],[Quantity]]=""),"",(PaviPortfolio[[#This Row],[CMP]]-PaviPortfolio[[#This Row],[Previous Close]])*PaviPortfolio[[#This Row],[Quantity]])</f>
        <v>-1531.0500000000088</v>
      </c>
      <c r="I11" s="23">
        <f>IFERROR((PaviPortfolio[[#This Row],[CMP]]-PaviPortfolio[[#This Row],[Buy Price]])/PaviPortfolio[[#This Row],[Buy Price]],"")</f>
        <v>0.42230662983425415</v>
      </c>
      <c r="J11" s="14">
        <f>IF(OR(PaviPortfolio[[#This Row],[CMP]]="",PaviPortfolio[[#This Row],[Buy Price]]="",PaviPortfolio[[#This Row],[Quantity]]=""),"",(PaviPortfolio[[#This Row],[CMP]]-PaviPortfolio[[#This Row],[Buy Price]])*PaviPortfolio[[#This Row],[Quantity]])</f>
        <v>31736.85</v>
      </c>
    </row>
    <row r="12" spans="1:10" ht="13" x14ac:dyDescent="0.3">
      <c r="A12" s="18" t="s">
        <v>46</v>
      </c>
      <c r="B12" s="19" t="s">
        <v>100</v>
      </c>
      <c r="C12" s="20">
        <v>4613.5600000000004</v>
      </c>
      <c r="D12" s="21">
        <v>15</v>
      </c>
      <c r="E12" s="20">
        <v>4807.6000000000004</v>
      </c>
      <c r="F12" s="20">
        <v>4776.5</v>
      </c>
      <c r="G12" s="22">
        <f>IFERROR((PaviPortfolio[[#This Row],[CMP]]-PaviPortfolio[[#This Row],[Previous Close]])/PaviPortfolio[[#This Row],[Previous Close]],"")</f>
        <v>-6.4689242033447794E-3</v>
      </c>
      <c r="H12" s="20">
        <f>IF(OR(PaviPortfolio[[#This Row],[CMP]]="",PaviPortfolio[[#This Row],[Previous Close]]="",PaviPortfolio[[#This Row],[Quantity]]=""),"",(PaviPortfolio[[#This Row],[CMP]]-PaviPortfolio[[#This Row],[Previous Close]])*PaviPortfolio[[#This Row],[Quantity]])</f>
        <v>-466.50000000000546</v>
      </c>
      <c r="I12" s="23">
        <f>IFERROR((PaviPortfolio[[#This Row],[CMP]]-PaviPortfolio[[#This Row],[Buy Price]])/PaviPortfolio[[#This Row],[Buy Price]],"")</f>
        <v>3.5317628902626082E-2</v>
      </c>
      <c r="J12" s="14">
        <f>IF(OR(PaviPortfolio[[#This Row],[CMP]]="",PaviPortfolio[[#This Row],[Buy Price]]="",PaviPortfolio[[#This Row],[Quantity]]=""),"",(PaviPortfolio[[#This Row],[CMP]]-PaviPortfolio[[#This Row],[Buy Price]])*PaviPortfolio[[#This Row],[Quantity]])</f>
        <v>2444.099999999994</v>
      </c>
    </row>
    <row r="13" spans="1:10" ht="13" x14ac:dyDescent="0.3">
      <c r="A13" s="18" t="s">
        <v>29</v>
      </c>
      <c r="B13" s="19" t="s">
        <v>80</v>
      </c>
      <c r="C13" s="20">
        <v>1241.3599999999999</v>
      </c>
      <c r="D13" s="21">
        <v>80</v>
      </c>
      <c r="E13" s="20">
        <v>1351.4</v>
      </c>
      <c r="F13" s="20">
        <v>1330</v>
      </c>
      <c r="G13" s="22">
        <f>IFERROR((PaviPortfolio[[#This Row],[CMP]]-PaviPortfolio[[#This Row],[Previous Close]])/PaviPortfolio[[#This Row],[Previous Close]],"")</f>
        <v>-1.5835429924522783E-2</v>
      </c>
      <c r="H13" s="20">
        <f>IF(OR(PaviPortfolio[[#This Row],[CMP]]="",PaviPortfolio[[#This Row],[Previous Close]]="",PaviPortfolio[[#This Row],[Quantity]]=""),"",(PaviPortfolio[[#This Row],[CMP]]-PaviPortfolio[[#This Row],[Previous Close]])*PaviPortfolio[[#This Row],[Quantity]])</f>
        <v>-1712.0000000000073</v>
      </c>
      <c r="I13" s="23">
        <f>IFERROR((PaviPortfolio[[#This Row],[CMP]]-PaviPortfolio[[#This Row],[Buy Price]])/PaviPortfolio[[#This Row],[Buy Price]],"")</f>
        <v>7.140555519752538E-2</v>
      </c>
      <c r="J13" s="14">
        <f>IF(OR(PaviPortfolio[[#This Row],[CMP]]="",PaviPortfolio[[#This Row],[Buy Price]]="",PaviPortfolio[[#This Row],[Quantity]]=""),"",(PaviPortfolio[[#This Row],[CMP]]-PaviPortfolio[[#This Row],[Buy Price]])*PaviPortfolio[[#This Row],[Quantity]])</f>
        <v>7091.200000000008</v>
      </c>
    </row>
    <row r="14" spans="1:10" ht="13" x14ac:dyDescent="0.3">
      <c r="A14" s="18" t="s">
        <v>38</v>
      </c>
      <c r="B14" s="19" t="s">
        <v>83</v>
      </c>
      <c r="C14" s="20">
        <v>593.77</v>
      </c>
      <c r="D14" s="21">
        <v>17</v>
      </c>
      <c r="E14" s="20">
        <v>161.58000000000001</v>
      </c>
      <c r="F14" s="20">
        <v>158.72</v>
      </c>
      <c r="G14" s="22">
        <f>IFERROR((PaviPortfolio[[#This Row],[CMP]]-PaviPortfolio[[#This Row],[Previous Close]])/PaviPortfolio[[#This Row],[Previous Close]],"")</f>
        <v>-1.7700210422082023E-2</v>
      </c>
      <c r="H14" s="20">
        <f>IF(OR(PaviPortfolio[[#This Row],[CMP]]="",PaviPortfolio[[#This Row],[Previous Close]]="",PaviPortfolio[[#This Row],[Quantity]]=""),"",(PaviPortfolio[[#This Row],[CMP]]-PaviPortfolio[[#This Row],[Previous Close]])*PaviPortfolio[[#This Row],[Quantity]])</f>
        <v>-48.620000000000232</v>
      </c>
      <c r="I14" s="23">
        <f>IFERROR((PaviPortfolio[[#This Row],[CMP]]-PaviPortfolio[[#This Row],[Buy Price]])/PaviPortfolio[[#This Row],[Buy Price]],"")</f>
        <v>-0.73269110935210602</v>
      </c>
      <c r="J14" s="14">
        <f>IF(OR(PaviPortfolio[[#This Row],[CMP]]="",PaviPortfolio[[#This Row],[Buy Price]]="",PaviPortfolio[[#This Row],[Quantity]]=""),"",(PaviPortfolio[[#This Row],[CMP]]-PaviPortfolio[[#This Row],[Buy Price]])*PaviPortfolio[[#This Row],[Quantity]])</f>
        <v>-7395.8499999999995</v>
      </c>
    </row>
    <row r="15" spans="1:10" ht="13" x14ac:dyDescent="0.3">
      <c r="A15" s="18" t="s">
        <v>52</v>
      </c>
      <c r="B15" s="19" t="s">
        <v>101</v>
      </c>
      <c r="C15" s="20">
        <v>556.1</v>
      </c>
      <c r="D15" s="21">
        <v>151</v>
      </c>
      <c r="E15" s="20">
        <v>518</v>
      </c>
      <c r="F15" s="20">
        <v>539</v>
      </c>
      <c r="G15" s="22">
        <f>IFERROR((PaviPortfolio[[#This Row],[CMP]]-PaviPortfolio[[#This Row],[Previous Close]])/PaviPortfolio[[#This Row],[Previous Close]],"")</f>
        <v>4.0540540540540543E-2</v>
      </c>
      <c r="H15" s="20">
        <f>IF(OR(PaviPortfolio[[#This Row],[CMP]]="",PaviPortfolio[[#This Row],[Previous Close]]="",PaviPortfolio[[#This Row],[Quantity]]=""),"",(PaviPortfolio[[#This Row],[CMP]]-PaviPortfolio[[#This Row],[Previous Close]])*PaviPortfolio[[#This Row],[Quantity]])</f>
        <v>3171</v>
      </c>
      <c r="I15" s="23">
        <f>IFERROR((PaviPortfolio[[#This Row],[CMP]]-PaviPortfolio[[#This Row],[Buy Price]])/PaviPortfolio[[#This Row],[Buy Price]],"")</f>
        <v>-3.0749865132170512E-2</v>
      </c>
      <c r="J15" s="14">
        <f>IF(OR(PaviPortfolio[[#This Row],[CMP]]="",PaviPortfolio[[#This Row],[Buy Price]]="",PaviPortfolio[[#This Row],[Quantity]]=""),"",(PaviPortfolio[[#This Row],[CMP]]-PaviPortfolio[[#This Row],[Buy Price]])*PaviPortfolio[[#This Row],[Quantity]])</f>
        <v>-2582.1000000000035</v>
      </c>
    </row>
    <row r="16" spans="1:10" ht="13" x14ac:dyDescent="0.3">
      <c r="A16" s="18" t="s">
        <v>40</v>
      </c>
      <c r="B16" s="19" t="s">
        <v>85</v>
      </c>
      <c r="C16" s="20">
        <v>93.13</v>
      </c>
      <c r="D16" s="21">
        <v>1430</v>
      </c>
      <c r="E16" s="20">
        <v>105.72</v>
      </c>
      <c r="F16" s="20">
        <v>105.01</v>
      </c>
      <c r="G16" s="22">
        <f>IFERROR((PaviPortfolio[[#This Row],[CMP]]-PaviPortfolio[[#This Row],[Previous Close]])/PaviPortfolio[[#This Row],[Previous Close]],"")</f>
        <v>-6.7158531971244209E-3</v>
      </c>
      <c r="H16" s="20">
        <f>IF(OR(PaviPortfolio[[#This Row],[CMP]]="",PaviPortfolio[[#This Row],[Previous Close]]="",PaviPortfolio[[#This Row],[Quantity]]=""),"",(PaviPortfolio[[#This Row],[CMP]]-PaviPortfolio[[#This Row],[Previous Close]])*PaviPortfolio[[#This Row],[Quantity]])</f>
        <v>-1015.2999999999911</v>
      </c>
      <c r="I16" s="23">
        <f>IFERROR((PaviPortfolio[[#This Row],[CMP]]-PaviPortfolio[[#This Row],[Buy Price]])/PaviPortfolio[[#This Row],[Buy Price]],"")</f>
        <v>0.12756362074519501</v>
      </c>
      <c r="J16" s="14">
        <f>IF(OR(PaviPortfolio[[#This Row],[CMP]]="",PaviPortfolio[[#This Row],[Buy Price]]="",PaviPortfolio[[#This Row],[Quantity]]=""),"",(PaviPortfolio[[#This Row],[CMP]]-PaviPortfolio[[#This Row],[Buy Price]])*PaviPortfolio[[#This Row],[Quantity]])</f>
        <v>16988.400000000012</v>
      </c>
    </row>
    <row r="17" spans="1:10" ht="13" x14ac:dyDescent="0.3">
      <c r="A17" s="18" t="s">
        <v>44</v>
      </c>
      <c r="B17" s="19" t="s">
        <v>86</v>
      </c>
      <c r="C17" s="20">
        <v>934.92</v>
      </c>
      <c r="D17" s="21">
        <v>87</v>
      </c>
      <c r="E17" s="20">
        <v>849.2</v>
      </c>
      <c r="F17" s="20">
        <v>841.85</v>
      </c>
      <c r="G17" s="22">
        <f>IFERROR((PaviPortfolio[[#This Row],[CMP]]-PaviPortfolio[[#This Row],[Previous Close]])/PaviPortfolio[[#This Row],[Previous Close]],"")</f>
        <v>-8.6552048987282408E-3</v>
      </c>
      <c r="H17" s="20">
        <f>IF(OR(PaviPortfolio[[#This Row],[CMP]]="",PaviPortfolio[[#This Row],[Previous Close]]="",PaviPortfolio[[#This Row],[Quantity]]=""),"",(PaviPortfolio[[#This Row],[CMP]]-PaviPortfolio[[#This Row],[Previous Close]])*PaviPortfolio[[#This Row],[Quantity]])</f>
        <v>-639.45000000000198</v>
      </c>
      <c r="I17" s="23">
        <f>IFERROR((PaviPortfolio[[#This Row],[CMP]]-PaviPortfolio[[#This Row],[Buy Price]])/PaviPortfolio[[#This Row],[Buy Price]],"")</f>
        <v>-9.9548624481238968E-2</v>
      </c>
      <c r="J17" s="14">
        <f>IF(OR(PaviPortfolio[[#This Row],[CMP]]="",PaviPortfolio[[#This Row],[Buy Price]]="",PaviPortfolio[[#This Row],[Quantity]]=""),"",(PaviPortfolio[[#This Row],[CMP]]-PaviPortfolio[[#This Row],[Buy Price]])*PaviPortfolio[[#This Row],[Quantity]])</f>
        <v>-8097.0899999999947</v>
      </c>
    </row>
    <row r="18" spans="1:10" ht="13" x14ac:dyDescent="0.3">
      <c r="A18" s="18" t="s">
        <v>54</v>
      </c>
      <c r="B18" s="19" t="s">
        <v>102</v>
      </c>
      <c r="C18" s="20">
        <v>269.64</v>
      </c>
      <c r="D18" s="21">
        <v>628</v>
      </c>
      <c r="E18" s="20">
        <v>273.25</v>
      </c>
      <c r="F18" s="20">
        <v>272.55</v>
      </c>
      <c r="G18" s="22">
        <f>IFERROR((PaviPortfolio[[#This Row],[CMP]]-PaviPortfolio[[#This Row],[Previous Close]])/PaviPortfolio[[#This Row],[Previous Close]],"")</f>
        <v>-2.5617566331198119E-3</v>
      </c>
      <c r="H18" s="20">
        <f>IF(OR(PaviPortfolio[[#This Row],[CMP]]="",PaviPortfolio[[#This Row],[Previous Close]]="",PaviPortfolio[[#This Row],[Quantity]]=""),"",(PaviPortfolio[[#This Row],[CMP]]-PaviPortfolio[[#This Row],[Previous Close]])*PaviPortfolio[[#This Row],[Quantity]])</f>
        <v>-439.59999999999286</v>
      </c>
      <c r="I18" s="23">
        <f>IFERROR((PaviPortfolio[[#This Row],[CMP]]-PaviPortfolio[[#This Row],[Buy Price]])/PaviPortfolio[[#This Row],[Buy Price]],"")</f>
        <v>1.0792167334223503E-2</v>
      </c>
      <c r="J18" s="14">
        <f>IF(OR(PaviPortfolio[[#This Row],[CMP]]="",PaviPortfolio[[#This Row],[Buy Price]]="",PaviPortfolio[[#This Row],[Quantity]]=""),"",(PaviPortfolio[[#This Row],[CMP]]-PaviPortfolio[[#This Row],[Buy Price]])*PaviPortfolio[[#This Row],[Quantity]])</f>
        <v>1827.4800000000157</v>
      </c>
    </row>
    <row r="19" spans="1:10" ht="13" x14ac:dyDescent="0.3">
      <c r="A19" s="18" t="s">
        <v>47</v>
      </c>
      <c r="B19" s="19" t="s">
        <v>88</v>
      </c>
      <c r="C19" s="20">
        <v>464.72</v>
      </c>
      <c r="D19" s="21">
        <v>310</v>
      </c>
      <c r="E19" s="20">
        <v>490</v>
      </c>
      <c r="F19" s="20">
        <v>498</v>
      </c>
      <c r="G19" s="22">
        <f>IFERROR((PaviPortfolio[[#This Row],[CMP]]-PaviPortfolio[[#This Row],[Previous Close]])/PaviPortfolio[[#This Row],[Previous Close]],"")</f>
        <v>1.6326530612244899E-2</v>
      </c>
      <c r="H19" s="20">
        <f>IF(OR(PaviPortfolio[[#This Row],[CMP]]="",PaviPortfolio[[#This Row],[Previous Close]]="",PaviPortfolio[[#This Row],[Quantity]]=""),"",(PaviPortfolio[[#This Row],[CMP]]-PaviPortfolio[[#This Row],[Previous Close]])*PaviPortfolio[[#This Row],[Quantity]])</f>
        <v>2480</v>
      </c>
      <c r="I19" s="23">
        <f>IFERROR((PaviPortfolio[[#This Row],[CMP]]-PaviPortfolio[[#This Row],[Buy Price]])/PaviPortfolio[[#This Row],[Buy Price]],"")</f>
        <v>7.161301428817346E-2</v>
      </c>
      <c r="J19" s="14">
        <f>IF(OR(PaviPortfolio[[#This Row],[CMP]]="",PaviPortfolio[[#This Row],[Buy Price]]="",PaviPortfolio[[#This Row],[Quantity]]=""),"",(PaviPortfolio[[#This Row],[CMP]]-PaviPortfolio[[#This Row],[Buy Price]])*PaviPortfolio[[#This Row],[Quantity]])</f>
        <v>10316.799999999992</v>
      </c>
    </row>
    <row r="20" spans="1:10" ht="13" x14ac:dyDescent="0.3">
      <c r="A20" s="18" t="s">
        <v>49</v>
      </c>
      <c r="B20" s="19" t="s">
        <v>90</v>
      </c>
      <c r="C20" s="20">
        <v>395.61</v>
      </c>
      <c r="D20" s="21">
        <v>155</v>
      </c>
      <c r="E20" s="20">
        <v>314.05</v>
      </c>
      <c r="F20" s="20">
        <v>316.8</v>
      </c>
      <c r="G20" s="22">
        <f>IFERROR((PaviPortfolio[[#This Row],[CMP]]-PaviPortfolio[[#This Row],[Previous Close]])/PaviPortfolio[[#This Row],[Previous Close]],"")</f>
        <v>8.7565674255691769E-3</v>
      </c>
      <c r="H20" s="20">
        <f>IF(OR(PaviPortfolio[[#This Row],[CMP]]="",PaviPortfolio[[#This Row],[Previous Close]]="",PaviPortfolio[[#This Row],[Quantity]]=""),"",(PaviPortfolio[[#This Row],[CMP]]-PaviPortfolio[[#This Row],[Previous Close]])*PaviPortfolio[[#This Row],[Quantity]])</f>
        <v>426.25</v>
      </c>
      <c r="I20" s="23">
        <f>IFERROR((PaviPortfolio[[#This Row],[CMP]]-PaviPortfolio[[#This Row],[Buy Price]])/PaviPortfolio[[#This Row],[Buy Price]],"")</f>
        <v>-0.19921134450595282</v>
      </c>
      <c r="J20" s="14">
        <f>IF(OR(PaviPortfolio[[#This Row],[CMP]]="",PaviPortfolio[[#This Row],[Buy Price]]="",PaviPortfolio[[#This Row],[Quantity]]=""),"",(PaviPortfolio[[#This Row],[CMP]]-PaviPortfolio[[#This Row],[Buy Price]])*PaviPortfolio[[#This Row],[Quantity]])</f>
        <v>-12215.550000000001</v>
      </c>
    </row>
    <row r="21" spans="1:10" ht="13" x14ac:dyDescent="0.3">
      <c r="A21" s="18" t="s">
        <v>50</v>
      </c>
      <c r="B21" s="19" t="s">
        <v>91</v>
      </c>
      <c r="C21" s="20">
        <v>39.840000000000003</v>
      </c>
      <c r="D21" s="21">
        <v>1125</v>
      </c>
      <c r="E21" s="20">
        <v>45.91</v>
      </c>
      <c r="F21" s="20">
        <v>45.83</v>
      </c>
      <c r="G21" s="22">
        <f>IFERROR((PaviPortfolio[[#This Row],[CMP]]-PaviPortfolio[[#This Row],[Previous Close]])/PaviPortfolio[[#This Row],[Previous Close]],"")</f>
        <v>-1.7425397516880484E-3</v>
      </c>
      <c r="H21" s="20">
        <f>IF(OR(PaviPortfolio[[#This Row],[CMP]]="",PaviPortfolio[[#This Row],[Previous Close]]="",PaviPortfolio[[#This Row],[Quantity]]=""),"",(PaviPortfolio[[#This Row],[CMP]]-PaviPortfolio[[#This Row],[Previous Close]])*PaviPortfolio[[#This Row],[Quantity]])</f>
        <v>-89.999999999998082</v>
      </c>
      <c r="I21" s="23">
        <f>IFERROR((PaviPortfolio[[#This Row],[CMP]]-PaviPortfolio[[#This Row],[Buy Price]])/PaviPortfolio[[#This Row],[Buy Price]],"")</f>
        <v>0.15035140562248983</v>
      </c>
      <c r="J21" s="14">
        <f>IF(OR(PaviPortfolio[[#This Row],[CMP]]="",PaviPortfolio[[#This Row],[Buy Price]]="",PaviPortfolio[[#This Row],[Quantity]]=""),"",(PaviPortfolio[[#This Row],[CMP]]-PaviPortfolio[[#This Row],[Buy Price]])*PaviPortfolio[[#This Row],[Quantity]])</f>
        <v>6738.7499999999945</v>
      </c>
    </row>
    <row r="22" spans="1:10" ht="13" x14ac:dyDescent="0.3">
      <c r="A22" s="18" t="s">
        <v>55</v>
      </c>
      <c r="B22" s="19" t="s">
        <v>103</v>
      </c>
      <c r="C22" s="20">
        <v>3681.5</v>
      </c>
      <c r="D22" s="21">
        <v>4</v>
      </c>
      <c r="E22" s="20">
        <v>5311.5</v>
      </c>
      <c r="F22" s="20">
        <v>5242</v>
      </c>
      <c r="G22" s="22">
        <f>IFERROR((PaviPortfolio[[#This Row],[CMP]]-PaviPortfolio[[#This Row],[Previous Close]])/PaviPortfolio[[#This Row],[Previous Close]],"")</f>
        <v>-1.3084815965358185E-2</v>
      </c>
      <c r="H22" s="20">
        <f>IF(OR(PaviPortfolio[[#This Row],[CMP]]="",PaviPortfolio[[#This Row],[Previous Close]]="",PaviPortfolio[[#This Row],[Quantity]]=""),"",(PaviPortfolio[[#This Row],[CMP]]-PaviPortfolio[[#This Row],[Previous Close]])*PaviPortfolio[[#This Row],[Quantity]])</f>
        <v>-278</v>
      </c>
      <c r="I22" s="23">
        <f>IFERROR((PaviPortfolio[[#This Row],[CMP]]-PaviPortfolio[[#This Row],[Buy Price]])/PaviPortfolio[[#This Row],[Buy Price]],"")</f>
        <v>0.42387613744397662</v>
      </c>
      <c r="J22" s="14">
        <f>IF(OR(PaviPortfolio[[#This Row],[CMP]]="",PaviPortfolio[[#This Row],[Buy Price]]="",PaviPortfolio[[#This Row],[Quantity]]=""),"",(PaviPortfolio[[#This Row],[CMP]]-PaviPortfolio[[#This Row],[Buy Price]])*PaviPortfolio[[#This Row],[Quantity]])</f>
        <v>6242</v>
      </c>
    </row>
    <row r="23" spans="1:10" ht="13" x14ac:dyDescent="0.3">
      <c r="A23" s="18" t="s">
        <v>56</v>
      </c>
      <c r="B23" s="19" t="s">
        <v>104</v>
      </c>
      <c r="C23" s="20">
        <v>2017.68</v>
      </c>
      <c r="D23" s="21">
        <v>25</v>
      </c>
      <c r="E23" s="20">
        <v>2013.9</v>
      </c>
      <c r="F23" s="20">
        <v>1994</v>
      </c>
      <c r="G23" s="22">
        <f>IFERROR((PaviPortfolio[[#This Row],[CMP]]-PaviPortfolio[[#This Row],[Previous Close]])/PaviPortfolio[[#This Row],[Previous Close]],"")</f>
        <v>-9.8813247926908439E-3</v>
      </c>
      <c r="H23" s="20">
        <f>IF(OR(PaviPortfolio[[#This Row],[CMP]]="",PaviPortfolio[[#This Row],[Previous Close]]="",PaviPortfolio[[#This Row],[Quantity]]=""),"",(PaviPortfolio[[#This Row],[CMP]]-PaviPortfolio[[#This Row],[Previous Close]])*PaviPortfolio[[#This Row],[Quantity]])</f>
        <v>-497.50000000000227</v>
      </c>
      <c r="I23" s="23">
        <f>IFERROR((PaviPortfolio[[#This Row],[CMP]]-PaviPortfolio[[#This Row],[Buy Price]])/PaviPortfolio[[#This Row],[Buy Price]],"")</f>
        <v>-1.1736251536418095E-2</v>
      </c>
      <c r="J23" s="14">
        <f>IF(OR(PaviPortfolio[[#This Row],[CMP]]="",PaviPortfolio[[#This Row],[Buy Price]]="",PaviPortfolio[[#This Row],[Quantity]]=""),"",(PaviPortfolio[[#This Row],[CMP]]-PaviPortfolio[[#This Row],[Buy Price]])*PaviPortfolio[[#This Row],[Quantity]])</f>
        <v>-592.00000000000159</v>
      </c>
    </row>
    <row r="24" spans="1:10" ht="12" customHeight="1" x14ac:dyDescent="0.25">
      <c r="C24" s="2"/>
      <c r="D24" s="2"/>
      <c r="E24" s="2"/>
      <c r="F24" s="1"/>
      <c r="G24" s="3"/>
      <c r="H24" s="3"/>
    </row>
    <row r="25" spans="1:10" ht="12" customHeight="1" x14ac:dyDescent="0.25">
      <c r="C25" s="2"/>
      <c r="D25" s="2"/>
      <c r="E25" s="2"/>
      <c r="F25" s="1"/>
      <c r="G25" s="3"/>
      <c r="H25" s="3"/>
    </row>
    <row r="26" spans="1:10" ht="12" customHeight="1" x14ac:dyDescent="0.25">
      <c r="C26" s="2"/>
      <c r="D26" s="2"/>
      <c r="E26" s="2"/>
      <c r="F26" s="1"/>
      <c r="G26" s="3"/>
      <c r="H26" s="3"/>
    </row>
    <row r="27" spans="1:10" ht="12" customHeight="1" x14ac:dyDescent="0.25">
      <c r="C27" s="2"/>
      <c r="D27" s="2"/>
      <c r="E27" s="2"/>
      <c r="F27" s="1"/>
      <c r="G27" s="3"/>
      <c r="H27" s="3"/>
    </row>
    <row r="28" spans="1:10" ht="12" customHeight="1" x14ac:dyDescent="0.25">
      <c r="C28" s="2"/>
      <c r="D28" s="2"/>
      <c r="E28" s="2"/>
      <c r="F28" s="1"/>
      <c r="G28" s="3"/>
      <c r="H28" s="3"/>
    </row>
    <row r="29" spans="1:10" ht="12" customHeight="1" x14ac:dyDescent="0.25">
      <c r="C29" s="2"/>
      <c r="D29" s="2"/>
      <c r="E29" s="2"/>
      <c r="F29" s="1"/>
      <c r="G29" s="3"/>
      <c r="H29" s="3"/>
    </row>
    <row r="30" spans="1:10" ht="12" customHeight="1" x14ac:dyDescent="0.25">
      <c r="C30" s="2"/>
      <c r="D30" s="2"/>
      <c r="E30" s="2"/>
      <c r="F30" s="1"/>
      <c r="G30" s="3"/>
      <c r="H30" s="3"/>
    </row>
    <row r="31" spans="1:10" ht="12" customHeight="1" x14ac:dyDescent="0.25">
      <c r="C31" s="2"/>
      <c r="D31" s="2"/>
      <c r="E31" s="2"/>
      <c r="F31" s="1"/>
      <c r="G31" s="3"/>
      <c r="H31" s="3"/>
    </row>
    <row r="32" spans="1:10" ht="12" customHeight="1" x14ac:dyDescent="0.25">
      <c r="C32" s="2"/>
      <c r="D32" s="2"/>
      <c r="E32" s="2"/>
      <c r="F32" s="1"/>
      <c r="G32" s="3"/>
      <c r="H32" s="3"/>
    </row>
    <row r="33" spans="3:8" ht="12" customHeight="1" x14ac:dyDescent="0.25">
      <c r="C33" s="2"/>
      <c r="D33" s="2"/>
      <c r="E33" s="2"/>
      <c r="F33" s="1"/>
      <c r="G33" s="3"/>
      <c r="H33" s="3"/>
    </row>
    <row r="34" spans="3:8" ht="12" customHeight="1" x14ac:dyDescent="0.25">
      <c r="C34" s="2"/>
      <c r="D34" s="2"/>
      <c r="E34" s="2"/>
      <c r="F34" s="1"/>
      <c r="G34" s="3"/>
      <c r="H34" s="3"/>
    </row>
    <row r="35" spans="3:8" ht="12" customHeight="1" x14ac:dyDescent="0.25">
      <c r="C35" s="2"/>
      <c r="D35" s="2"/>
      <c r="E35" s="2"/>
      <c r="F35" s="1"/>
      <c r="G35" s="3"/>
      <c r="H35" s="3"/>
    </row>
    <row r="36" spans="3:8" ht="12" customHeight="1" x14ac:dyDescent="0.25">
      <c r="C36" s="2"/>
      <c r="D36" s="2"/>
      <c r="E36" s="2"/>
      <c r="F36" s="1"/>
      <c r="G36" s="3"/>
      <c r="H36" s="3"/>
    </row>
    <row r="37" spans="3:8" ht="12" customHeight="1" x14ac:dyDescent="0.25">
      <c r="C37" s="2"/>
      <c r="D37" s="2"/>
      <c r="E37" s="2"/>
      <c r="F37" s="1"/>
      <c r="G37" s="3"/>
      <c r="H37" s="3"/>
    </row>
    <row r="38" spans="3:8" ht="12" customHeight="1" x14ac:dyDescent="0.25">
      <c r="C38" s="2"/>
      <c r="D38" s="2"/>
      <c r="E38" s="2"/>
      <c r="F38" s="1"/>
      <c r="G38" s="3"/>
      <c r="H38" s="3"/>
    </row>
    <row r="39" spans="3:8" ht="12" customHeight="1" x14ac:dyDescent="0.25">
      <c r="C39" s="2"/>
      <c r="D39" s="2"/>
      <c r="E39" s="2"/>
      <c r="F39" s="1"/>
      <c r="G39" s="3"/>
      <c r="H39" s="3"/>
    </row>
    <row r="40" spans="3:8" ht="12" customHeight="1" x14ac:dyDescent="0.25">
      <c r="C40" s="2"/>
      <c r="D40" s="2"/>
      <c r="E40" s="2"/>
      <c r="F40" s="1"/>
      <c r="G40" s="3"/>
      <c r="H40" s="3"/>
    </row>
    <row r="41" spans="3:8" ht="12" customHeight="1" x14ac:dyDescent="0.25">
      <c r="C41" s="2"/>
      <c r="D41" s="2"/>
      <c r="E41" s="2"/>
      <c r="F41" s="1"/>
      <c r="G41" s="3"/>
      <c r="H41" s="3"/>
    </row>
    <row r="42" spans="3:8" ht="12" customHeight="1" x14ac:dyDescent="0.25">
      <c r="C42" s="2"/>
      <c r="D42" s="2"/>
      <c r="E42" s="2"/>
      <c r="F42" s="1"/>
      <c r="G42" s="3"/>
      <c r="H42" s="3"/>
    </row>
    <row r="43" spans="3:8" ht="12" customHeight="1" x14ac:dyDescent="0.25">
      <c r="C43" s="2"/>
      <c r="D43" s="2"/>
      <c r="E43" s="2"/>
      <c r="F43" s="1"/>
      <c r="G43" s="3"/>
      <c r="H43" s="3"/>
    </row>
    <row r="44" spans="3:8" ht="12" customHeight="1" x14ac:dyDescent="0.25">
      <c r="C44" s="2"/>
      <c r="D44" s="2"/>
      <c r="E44" s="2"/>
      <c r="F44" s="1"/>
      <c r="G44" s="3"/>
      <c r="H44" s="3"/>
    </row>
    <row r="45" spans="3:8" ht="12" customHeight="1" x14ac:dyDescent="0.25">
      <c r="C45" s="2"/>
      <c r="D45" s="2"/>
      <c r="E45" s="2"/>
      <c r="F45" s="1"/>
      <c r="G45" s="3"/>
      <c r="H45" s="3"/>
    </row>
    <row r="46" spans="3:8" ht="12" customHeight="1" x14ac:dyDescent="0.25">
      <c r="C46" s="2"/>
      <c r="D46" s="2"/>
      <c r="E46" s="2"/>
      <c r="F46" s="1"/>
      <c r="G46" s="3"/>
      <c r="H46" s="3"/>
    </row>
    <row r="47" spans="3:8" ht="12" customHeight="1" x14ac:dyDescent="0.25">
      <c r="C47" s="2"/>
      <c r="D47" s="2"/>
      <c r="E47" s="2"/>
      <c r="F47" s="1"/>
      <c r="G47" s="3"/>
      <c r="H47" s="3"/>
    </row>
    <row r="48" spans="3:8" ht="12" customHeight="1" x14ac:dyDescent="0.25">
      <c r="C48" s="2"/>
      <c r="D48" s="2"/>
      <c r="E48" s="2"/>
      <c r="F48" s="1"/>
      <c r="G48" s="3"/>
      <c r="H48" s="3"/>
    </row>
    <row r="49" spans="3:8" ht="12" customHeight="1" x14ac:dyDescent="0.25">
      <c r="C49" s="2"/>
      <c r="D49" s="2"/>
      <c r="E49" s="2"/>
      <c r="F49" s="1"/>
      <c r="G49" s="3"/>
      <c r="H49" s="3"/>
    </row>
    <row r="50" spans="3:8" ht="12" customHeight="1" x14ac:dyDescent="0.25">
      <c r="C50" s="2"/>
      <c r="D50" s="2"/>
      <c r="E50" s="2"/>
      <c r="F50" s="1"/>
      <c r="G50" s="3"/>
      <c r="H50" s="3"/>
    </row>
    <row r="51" spans="3:8" ht="12" customHeight="1" x14ac:dyDescent="0.25">
      <c r="C51" s="2"/>
      <c r="D51" s="2"/>
      <c r="E51" s="2"/>
      <c r="F51" s="1"/>
      <c r="G51" s="3"/>
      <c r="H51" s="3"/>
    </row>
    <row r="52" spans="3:8" ht="12" customHeight="1" x14ac:dyDescent="0.25">
      <c r="C52" s="2"/>
      <c r="D52" s="2"/>
      <c r="E52" s="2"/>
      <c r="F52" s="1"/>
      <c r="G52" s="3"/>
      <c r="H52" s="3"/>
    </row>
    <row r="53" spans="3:8" ht="12" customHeight="1" x14ac:dyDescent="0.25">
      <c r="C53" s="2"/>
      <c r="D53" s="2"/>
      <c r="E53" s="2"/>
      <c r="F53" s="1"/>
      <c r="G53" s="3"/>
      <c r="H53" s="3"/>
    </row>
    <row r="54" spans="3:8" ht="12" customHeight="1" x14ac:dyDescent="0.25">
      <c r="C54" s="2"/>
      <c r="D54" s="2"/>
      <c r="E54" s="2"/>
      <c r="F54" s="1"/>
      <c r="G54" s="3"/>
      <c r="H54" s="3"/>
    </row>
    <row r="55" spans="3:8" ht="12" customHeight="1" x14ac:dyDescent="0.25">
      <c r="C55" s="2"/>
      <c r="D55" s="2"/>
      <c r="E55" s="2"/>
      <c r="F55" s="1"/>
      <c r="G55" s="3"/>
      <c r="H55" s="3"/>
    </row>
    <row r="56" spans="3:8" ht="12" customHeight="1" x14ac:dyDescent="0.25">
      <c r="C56" s="2"/>
      <c r="D56" s="2"/>
      <c r="E56" s="2"/>
      <c r="F56" s="1"/>
      <c r="G56" s="3"/>
      <c r="H56" s="3"/>
    </row>
    <row r="57" spans="3:8" ht="12" customHeight="1" x14ac:dyDescent="0.25">
      <c r="C57" s="2"/>
      <c r="D57" s="2"/>
      <c r="E57" s="2"/>
      <c r="F57" s="1"/>
      <c r="G57" s="3"/>
      <c r="H57" s="3"/>
    </row>
    <row r="58" spans="3:8" ht="12" customHeight="1" x14ac:dyDescent="0.25">
      <c r="C58" s="2"/>
      <c r="D58" s="2"/>
      <c r="E58" s="2"/>
      <c r="F58" s="1"/>
      <c r="G58" s="3"/>
      <c r="H58" s="3"/>
    </row>
    <row r="59" spans="3:8" ht="12" customHeight="1" x14ac:dyDescent="0.25">
      <c r="C59" s="2"/>
      <c r="D59" s="2"/>
      <c r="E59" s="2"/>
      <c r="F59" s="1"/>
      <c r="G59" s="3"/>
      <c r="H59" s="3"/>
    </row>
    <row r="60" spans="3:8" ht="12" customHeight="1" x14ac:dyDescent="0.25">
      <c r="C60" s="2"/>
      <c r="D60" s="2"/>
      <c r="E60" s="2"/>
      <c r="F60" s="1"/>
      <c r="G60" s="3"/>
      <c r="H60" s="3"/>
    </row>
    <row r="61" spans="3:8" ht="12" customHeight="1" x14ac:dyDescent="0.25">
      <c r="C61" s="2"/>
      <c r="D61" s="2"/>
      <c r="E61" s="2"/>
      <c r="F61" s="1"/>
      <c r="G61" s="3"/>
      <c r="H61" s="3"/>
    </row>
    <row r="62" spans="3:8" ht="12" customHeight="1" x14ac:dyDescent="0.25">
      <c r="C62" s="2"/>
      <c r="D62" s="2"/>
      <c r="E62" s="2"/>
      <c r="F62" s="1"/>
      <c r="G62" s="3"/>
      <c r="H62" s="3"/>
    </row>
    <row r="63" spans="3:8" ht="12" customHeight="1" x14ac:dyDescent="0.25">
      <c r="C63" s="2"/>
      <c r="D63" s="2"/>
      <c r="E63" s="2"/>
      <c r="F63" s="1"/>
      <c r="G63" s="3"/>
      <c r="H63" s="3"/>
    </row>
    <row r="64" spans="3:8" ht="12" customHeight="1" x14ac:dyDescent="0.25">
      <c r="C64" s="2"/>
      <c r="D64" s="2"/>
      <c r="E64" s="2"/>
      <c r="F64" s="1"/>
      <c r="G64" s="3"/>
      <c r="H64" s="3"/>
    </row>
    <row r="65" spans="3:8" ht="12" customHeight="1" x14ac:dyDescent="0.25">
      <c r="C65" s="2"/>
      <c r="D65" s="2"/>
      <c r="E65" s="2"/>
      <c r="F65" s="1"/>
      <c r="G65" s="3"/>
      <c r="H65" s="3"/>
    </row>
    <row r="66" spans="3:8" ht="12" customHeight="1" x14ac:dyDescent="0.25">
      <c r="C66" s="2"/>
      <c r="D66" s="2"/>
      <c r="E66" s="2"/>
      <c r="F66" s="1"/>
      <c r="G66" s="3"/>
      <c r="H66" s="3"/>
    </row>
    <row r="67" spans="3:8" ht="12" customHeight="1" x14ac:dyDescent="0.25">
      <c r="C67" s="2"/>
      <c r="D67" s="2"/>
      <c r="E67" s="2"/>
      <c r="F67" s="1"/>
      <c r="G67" s="3"/>
      <c r="H67" s="3"/>
    </row>
    <row r="68" spans="3:8" ht="12" customHeight="1" x14ac:dyDescent="0.25">
      <c r="C68" s="2"/>
      <c r="D68" s="2"/>
      <c r="E68" s="2"/>
      <c r="F68" s="1"/>
      <c r="G68" s="3"/>
      <c r="H68" s="3"/>
    </row>
    <row r="69" spans="3:8" ht="12" customHeight="1" x14ac:dyDescent="0.25">
      <c r="C69" s="2"/>
      <c r="D69" s="2"/>
      <c r="E69" s="2"/>
      <c r="F69" s="1"/>
      <c r="G69" s="3"/>
      <c r="H69" s="3"/>
    </row>
    <row r="70" spans="3:8" ht="12" customHeight="1" x14ac:dyDescent="0.25">
      <c r="C70" s="2"/>
      <c r="D70" s="2"/>
      <c r="E70" s="2"/>
      <c r="F70" s="1"/>
      <c r="G70" s="3"/>
      <c r="H70" s="3"/>
    </row>
    <row r="71" spans="3:8" ht="12" customHeight="1" x14ac:dyDescent="0.25">
      <c r="C71" s="2"/>
      <c r="D71" s="2"/>
      <c r="E71" s="2"/>
      <c r="F71" s="1"/>
      <c r="G71" s="3"/>
      <c r="H71" s="3"/>
    </row>
    <row r="72" spans="3:8" ht="12" customHeight="1" x14ac:dyDescent="0.25">
      <c r="C72" s="2"/>
      <c r="D72" s="2"/>
      <c r="E72" s="2"/>
      <c r="F72" s="1"/>
      <c r="G72" s="3"/>
      <c r="H72" s="3"/>
    </row>
    <row r="73" spans="3:8" ht="12" customHeight="1" x14ac:dyDescent="0.25">
      <c r="C73" s="2"/>
      <c r="D73" s="2"/>
      <c r="E73" s="2"/>
      <c r="F73" s="1"/>
      <c r="G73" s="3"/>
      <c r="H73" s="3"/>
    </row>
    <row r="74" spans="3:8" ht="12" customHeight="1" x14ac:dyDescent="0.25">
      <c r="C74" s="2"/>
      <c r="D74" s="2"/>
      <c r="E74" s="2"/>
      <c r="F74" s="1"/>
      <c r="G74" s="3"/>
      <c r="H74" s="3"/>
    </row>
    <row r="75" spans="3:8" ht="12" customHeight="1" x14ac:dyDescent="0.25">
      <c r="C75" s="2"/>
      <c r="D75" s="2"/>
      <c r="E75" s="2"/>
      <c r="F75" s="1"/>
      <c r="G75" s="3"/>
      <c r="H75" s="3"/>
    </row>
    <row r="76" spans="3:8" ht="12" customHeight="1" x14ac:dyDescent="0.25">
      <c r="C76" s="2"/>
      <c r="D76" s="2"/>
      <c r="E76" s="2"/>
      <c r="F76" s="1"/>
      <c r="G76" s="3"/>
      <c r="H76" s="3"/>
    </row>
    <row r="77" spans="3:8" ht="12" customHeight="1" x14ac:dyDescent="0.25">
      <c r="C77" s="2"/>
      <c r="D77" s="2"/>
      <c r="E77" s="2"/>
      <c r="F77" s="1"/>
      <c r="G77" s="3"/>
      <c r="H77" s="3"/>
    </row>
    <row r="78" spans="3:8" ht="12" customHeight="1" x14ac:dyDescent="0.25">
      <c r="C78" s="2"/>
      <c r="D78" s="2"/>
      <c r="E78" s="2"/>
      <c r="F78" s="1"/>
      <c r="G78" s="3"/>
      <c r="H78" s="3"/>
    </row>
    <row r="79" spans="3:8" ht="12" customHeight="1" x14ac:dyDescent="0.25">
      <c r="C79" s="2"/>
      <c r="D79" s="2"/>
      <c r="E79" s="2"/>
      <c r="F79" s="1"/>
      <c r="G79" s="3"/>
      <c r="H79" s="3"/>
    </row>
    <row r="80" spans="3:8" ht="12" customHeight="1" x14ac:dyDescent="0.25">
      <c r="C80" s="2"/>
      <c r="D80" s="2"/>
      <c r="E80" s="2"/>
      <c r="F80" s="1"/>
      <c r="G80" s="3"/>
      <c r="H80" s="3"/>
    </row>
    <row r="81" spans="3:8" ht="12" customHeight="1" x14ac:dyDescent="0.25">
      <c r="C81" s="2"/>
      <c r="D81" s="2"/>
      <c r="E81" s="2"/>
      <c r="F81" s="1"/>
      <c r="G81" s="3"/>
      <c r="H81" s="3"/>
    </row>
    <row r="82" spans="3:8" ht="12" customHeight="1" x14ac:dyDescent="0.25">
      <c r="C82" s="2"/>
      <c r="D82" s="2"/>
      <c r="E82" s="2"/>
      <c r="F82" s="1"/>
      <c r="G82" s="3"/>
      <c r="H82" s="3"/>
    </row>
    <row r="83" spans="3:8" ht="12" customHeight="1" x14ac:dyDescent="0.25">
      <c r="C83" s="2"/>
      <c r="D83" s="2"/>
      <c r="E83" s="2"/>
      <c r="F83" s="1"/>
      <c r="G83" s="3"/>
      <c r="H83" s="3"/>
    </row>
    <row r="84" spans="3:8" ht="12" customHeight="1" x14ac:dyDescent="0.25">
      <c r="C84" s="2"/>
      <c r="D84" s="2"/>
      <c r="E84" s="2"/>
      <c r="F84" s="1"/>
      <c r="G84" s="3"/>
      <c r="H84" s="3"/>
    </row>
    <row r="85" spans="3:8" ht="12" customHeight="1" x14ac:dyDescent="0.25">
      <c r="C85" s="2"/>
      <c r="D85" s="2"/>
      <c r="E85" s="2"/>
      <c r="F85" s="1"/>
      <c r="G85" s="3"/>
      <c r="H85" s="3"/>
    </row>
    <row r="86" spans="3:8" ht="12" customHeight="1" x14ac:dyDescent="0.25">
      <c r="C86" s="2"/>
      <c r="D86" s="2"/>
      <c r="E86" s="2"/>
      <c r="F86" s="1"/>
      <c r="G86" s="3"/>
      <c r="H86" s="3"/>
    </row>
    <row r="87" spans="3:8" ht="12" customHeight="1" x14ac:dyDescent="0.25">
      <c r="C87" s="2"/>
      <c r="D87" s="2"/>
      <c r="E87" s="2"/>
      <c r="F87" s="1"/>
      <c r="G87" s="3"/>
      <c r="H87" s="3"/>
    </row>
    <row r="88" spans="3:8" ht="12" customHeight="1" x14ac:dyDescent="0.25">
      <c r="C88" s="2"/>
      <c r="D88" s="2"/>
      <c r="E88" s="2"/>
      <c r="F88" s="1"/>
      <c r="G88" s="3"/>
      <c r="H88" s="3"/>
    </row>
    <row r="89" spans="3:8" ht="12" customHeight="1" x14ac:dyDescent="0.25">
      <c r="C89" s="2"/>
      <c r="D89" s="2"/>
      <c r="E89" s="2"/>
      <c r="F89" s="1"/>
      <c r="G89" s="3"/>
      <c r="H89" s="3"/>
    </row>
    <row r="90" spans="3:8" ht="12" customHeight="1" x14ac:dyDescent="0.25">
      <c r="C90" s="2"/>
      <c r="D90" s="2"/>
      <c r="E90" s="2"/>
      <c r="F90" s="1"/>
      <c r="G90" s="3"/>
      <c r="H90" s="3"/>
    </row>
    <row r="91" spans="3:8" ht="12" customHeight="1" x14ac:dyDescent="0.25">
      <c r="C91" s="2"/>
      <c r="D91" s="2"/>
      <c r="E91" s="2"/>
      <c r="F91" s="1"/>
      <c r="G91" s="3"/>
      <c r="H91" s="3"/>
    </row>
    <row r="92" spans="3:8" ht="12" customHeight="1" x14ac:dyDescent="0.25">
      <c r="C92" s="2"/>
      <c r="D92" s="2"/>
      <c r="E92" s="2"/>
      <c r="F92" s="1"/>
      <c r="G92" s="3"/>
      <c r="H92" s="3"/>
    </row>
    <row r="93" spans="3:8" ht="12" customHeight="1" x14ac:dyDescent="0.25">
      <c r="C93" s="2"/>
      <c r="D93" s="2"/>
      <c r="E93" s="2"/>
      <c r="F93" s="1"/>
      <c r="G93" s="3"/>
      <c r="H93" s="3"/>
    </row>
    <row r="94" spans="3:8" ht="12" customHeight="1" x14ac:dyDescent="0.25">
      <c r="C94" s="2"/>
      <c r="D94" s="2"/>
      <c r="E94" s="2"/>
      <c r="F94" s="1"/>
      <c r="G94" s="3"/>
      <c r="H94" s="3"/>
    </row>
    <row r="95" spans="3:8" ht="12" customHeight="1" x14ac:dyDescent="0.25">
      <c r="C95" s="2"/>
      <c r="D95" s="2"/>
      <c r="E95" s="2"/>
      <c r="F95" s="1"/>
      <c r="G95" s="3"/>
      <c r="H95" s="3"/>
    </row>
    <row r="96" spans="3:8" ht="12" customHeight="1" x14ac:dyDescent="0.25">
      <c r="C96" s="2"/>
      <c r="D96" s="2"/>
      <c r="E96" s="2"/>
      <c r="F96" s="1"/>
      <c r="G96" s="3"/>
      <c r="H96" s="3"/>
    </row>
    <row r="97" spans="3:8" ht="12" customHeight="1" x14ac:dyDescent="0.25">
      <c r="C97" s="2"/>
      <c r="D97" s="2"/>
      <c r="E97" s="2"/>
      <c r="F97" s="1"/>
      <c r="G97" s="3"/>
      <c r="H97" s="3"/>
    </row>
    <row r="98" spans="3:8" ht="12" customHeight="1" x14ac:dyDescent="0.25">
      <c r="C98" s="2"/>
      <c r="D98" s="2"/>
      <c r="E98" s="2"/>
      <c r="F98" s="1"/>
      <c r="G98" s="3"/>
      <c r="H98" s="3"/>
    </row>
    <row r="99" spans="3:8" ht="12" customHeight="1" x14ac:dyDescent="0.25">
      <c r="C99" s="2"/>
      <c r="D99" s="2"/>
      <c r="E99" s="2"/>
      <c r="F99" s="1"/>
      <c r="G99" s="3"/>
      <c r="H99" s="3"/>
    </row>
    <row r="100" spans="3:8" ht="12" customHeight="1" x14ac:dyDescent="0.25">
      <c r="C100" s="2"/>
      <c r="D100" s="2"/>
      <c r="E100" s="2"/>
      <c r="F100" s="1"/>
      <c r="G100" s="3"/>
      <c r="H100" s="3"/>
    </row>
    <row r="101" spans="3:8" ht="12" customHeight="1" x14ac:dyDescent="0.25">
      <c r="C101" s="2"/>
      <c r="D101" s="2"/>
      <c r="E101" s="2"/>
      <c r="F101" s="1"/>
      <c r="G101" s="3"/>
      <c r="H101" s="3"/>
    </row>
    <row r="102" spans="3:8" ht="12" customHeight="1" x14ac:dyDescent="0.25">
      <c r="C102" s="2"/>
      <c r="D102" s="2"/>
      <c r="E102" s="2"/>
      <c r="F102" s="1"/>
      <c r="G102" s="3"/>
      <c r="H102" s="3"/>
    </row>
    <row r="103" spans="3:8" ht="12" customHeight="1" x14ac:dyDescent="0.25"/>
    <row r="104" spans="3:8" ht="12" customHeight="1" x14ac:dyDescent="0.25"/>
    <row r="105" spans="3:8" ht="12" customHeight="1" x14ac:dyDescent="0.25"/>
    <row r="106" spans="3:8" ht="12" customHeight="1" x14ac:dyDescent="0.25"/>
    <row r="107" spans="3:8" ht="12" customHeight="1" x14ac:dyDescent="0.25"/>
    <row r="108" spans="3:8" ht="12" customHeight="1" x14ac:dyDescent="0.25"/>
    <row r="109" spans="3:8" ht="12" customHeight="1" x14ac:dyDescent="0.25"/>
    <row r="110" spans="3:8" ht="12" customHeight="1" x14ac:dyDescent="0.25"/>
    <row r="111" spans="3:8" ht="12" customHeight="1" x14ac:dyDescent="0.25"/>
    <row r="112" spans="3:8"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sheetData>
  <customSheetViews>
    <customSheetView guid="{D1EEC2D5-142C-4093-A95B-3A00F20037DE}" filter="1" showAutoFilter="1">
      <pageMargins left="0.7" right="0.7" top="0.75" bottom="0.75" header="0.3" footer="0.3"/>
      <autoFilter ref="A4:H23" xr:uid="{D6C61EA2-21E8-4D0E-9BC0-9060DE1ABCAB}"/>
      <extLst>
        <ext uri="GoogleSheetsCustomDataVersion1">
          <go:sheetsCustomData xmlns:go="http://customooxmlschemas.google.com/" filterViewId="191249194"/>
        </ext>
      </extLst>
    </customSheetView>
  </customSheetViews>
  <mergeCells count="2">
    <mergeCell ref="A1:J1"/>
    <mergeCell ref="A2:J2"/>
  </mergeCells>
  <phoneticPr fontId="2" type="noConversion"/>
  <conditionalFormatting sqref="H5:H23">
    <cfRule type="cellIs" dxfId="29" priority="1" operator="greaterThan">
      <formula>0</formula>
    </cfRule>
  </conditionalFormatting>
  <conditionalFormatting sqref="H5:H23">
    <cfRule type="cellIs" dxfId="28" priority="2" operator="lessThan">
      <formula>0</formula>
    </cfRule>
  </conditionalFormatting>
  <conditionalFormatting sqref="J5:J23">
    <cfRule type="cellIs" dxfId="27" priority="3" operator="greaterThan">
      <formula>0</formula>
    </cfRule>
  </conditionalFormatting>
  <conditionalFormatting sqref="J5:J23">
    <cfRule type="cellIs" dxfId="26" priority="4" operator="lessThan">
      <formula>0</formula>
    </cfRule>
  </conditionalFormatting>
  <pageMargins left="0.7" right="0.7" top="0.75" bottom="0.75" header="0" footer="0"/>
  <pageSetup orientation="landscape"/>
  <headerFooter>
    <oddHeader>&amp;L&amp;"Arial"&amp;9&amp;KA80000 CONFIDENTIAL&amp;1#_x000D_&amp;"Arial"&amp;10&amp;K000000A80000 CONFIDENTIAL#_x000D_</oddHead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5A5A5"/>
    <outlinePr summaryBelow="0" summaryRight="0"/>
  </sheetPr>
  <dimension ref="A1:H101"/>
  <sheetViews>
    <sheetView workbookViewId="0">
      <selection activeCell="K17" sqref="K17"/>
    </sheetView>
  </sheetViews>
  <sheetFormatPr defaultColWidth="12.6328125" defaultRowHeight="15" customHeight="1" x14ac:dyDescent="0.25"/>
  <cols>
    <col min="1" max="1" width="24.54296875" customWidth="1"/>
    <col min="2" max="2" width="36.36328125" customWidth="1"/>
    <col min="3" max="3" width="13.6328125" customWidth="1"/>
    <col min="4" max="4" width="15.453125" customWidth="1"/>
    <col min="5" max="5" width="13.6328125" customWidth="1"/>
    <col min="6" max="6" width="12.7265625" customWidth="1"/>
    <col min="7" max="8" width="15.453125" customWidth="1"/>
  </cols>
  <sheetData>
    <row r="1" spans="1:8" ht="30" customHeight="1" x14ac:dyDescent="0.25">
      <c r="A1" s="24" t="s">
        <v>105</v>
      </c>
      <c r="B1" s="24"/>
      <c r="C1" s="24"/>
      <c r="D1" s="24"/>
      <c r="E1" s="24"/>
      <c r="F1" s="24"/>
      <c r="G1" s="24"/>
      <c r="H1" s="24"/>
    </row>
    <row r="2" spans="1:8" ht="22" customHeight="1" x14ac:dyDescent="0.25">
      <c r="A2" s="25" t="s">
        <v>106</v>
      </c>
      <c r="B2" s="25"/>
      <c r="C2" s="25"/>
      <c r="D2" s="25"/>
      <c r="E2" s="25"/>
      <c r="F2" s="25"/>
      <c r="G2" s="25"/>
      <c r="H2" s="25"/>
    </row>
    <row r="3" spans="1:8" ht="15" customHeight="1" x14ac:dyDescent="0.3">
      <c r="A3" s="7"/>
      <c r="B3" s="7"/>
      <c r="C3" s="7"/>
      <c r="D3" s="7"/>
      <c r="E3" s="7"/>
      <c r="F3" s="7"/>
      <c r="G3" s="7"/>
      <c r="H3" s="7"/>
    </row>
    <row r="4" spans="1:8" ht="30" customHeight="1" x14ac:dyDescent="0.3">
      <c r="A4" s="27" t="s">
        <v>16</v>
      </c>
      <c r="B4" s="27" t="s">
        <v>17</v>
      </c>
      <c r="C4" s="27" t="s">
        <v>18</v>
      </c>
      <c r="D4" s="27" t="s">
        <v>19</v>
      </c>
      <c r="E4" s="27" t="s">
        <v>20</v>
      </c>
      <c r="F4" s="27" t="s">
        <v>21</v>
      </c>
      <c r="G4" s="27" t="s">
        <v>22</v>
      </c>
      <c r="H4" s="27" t="s">
        <v>23</v>
      </c>
    </row>
    <row r="5" spans="1:8" ht="39" x14ac:dyDescent="0.3">
      <c r="A5" s="7" t="s">
        <v>33</v>
      </c>
      <c r="B5" s="28" t="str">
        <f ca="1">IFERROR(__xludf.DUMMYFUNCTION("GOOGLEFINANCE(""MUTF_IN:""&amp;A5,""NAME"")"),"Tata Arbitrage Fund Direct Growth")</f>
        <v>Tata Arbitrage Fund Direct Growth</v>
      </c>
      <c r="C5" s="29">
        <v>15.88</v>
      </c>
      <c r="D5" s="29">
        <f ca="1">IFERROR(__xludf.DUMMYFUNCTION("GOOGLEFINANCE(""MUTF_IN:""&amp;A5,""closeyest"")"),16.34)</f>
        <v>16.34</v>
      </c>
      <c r="E5" s="29">
        <f ca="1">IFERROR(__xludf.DUMMYFUNCTION("GOOGLEFINANCE(""MUTF_IN:""&amp;A5,""price"")"),16.34)</f>
        <v>16.34</v>
      </c>
      <c r="F5" s="26">
        <v>18985.205999999998</v>
      </c>
      <c r="G5" s="29">
        <f ca="1">IF(OR(VelanMF!$D5="",VelanMF!$E5="",VelanMF!$F5=""),"",(VelanMF!$E5-VelanMF!$D5)*VelanMF!$F5)</f>
        <v>0</v>
      </c>
      <c r="H5" s="29">
        <f ca="1">IF(OR(VelanMF!$C5="",VelanMF!$E5="",VelanMF!$F5=""),"",(VelanMF!$E5-VelanMF!$C5)*VelanMF!$F5)</f>
        <v>8733.1947599999821</v>
      </c>
    </row>
    <row r="6" spans="1:8" ht="52" x14ac:dyDescent="0.3">
      <c r="A6" s="7" t="s">
        <v>37</v>
      </c>
      <c r="B6" s="28" t="str">
        <f ca="1">IFERROR(__xludf.DUMMYFUNCTION("GOOGLEFINANCE(""MUTF_IN:""&amp;A6,""NAME"")"),"Quant ELSS Tax Saver Growth Option Direct Plan")</f>
        <v>Quant ELSS Tax Saver Growth Option Direct Plan</v>
      </c>
      <c r="C6" s="29">
        <v>232.59</v>
      </c>
      <c r="D6" s="29">
        <f ca="1">IFERROR(__xludf.DUMMYFUNCTION("GOOGLEFINANCE(""MUTF_IN:""&amp;A6,""closeyest"")"),462.38)</f>
        <v>462.38</v>
      </c>
      <c r="E6" s="29">
        <f ca="1">IFERROR(__xludf.DUMMYFUNCTION("GOOGLEFINANCE(""MUTF_IN:""&amp;A6,""price"")"),462.38)</f>
        <v>462.38</v>
      </c>
      <c r="F6" s="26">
        <v>174.11699999999999</v>
      </c>
      <c r="G6" s="29">
        <f ca="1">IF(OR(VelanMF!$D6="",VelanMF!$E6="",VelanMF!$F6=""),"",(VelanMF!$E6-VelanMF!$D6)*VelanMF!$F6)</f>
        <v>0</v>
      </c>
      <c r="H6" s="29">
        <f ca="1">IF(OR(VelanMF!$C6="",VelanMF!$E6="",VelanMF!$F6=""),"",(VelanMF!$E6-VelanMF!$C6)*VelanMF!$F6)</f>
        <v>40010.345429999994</v>
      </c>
    </row>
    <row r="7" spans="1:8" x14ac:dyDescent="0.25">
      <c r="C7" s="2"/>
      <c r="D7" s="2"/>
      <c r="E7" s="2"/>
      <c r="F7" s="1"/>
      <c r="G7" s="3"/>
      <c r="H7" s="3"/>
    </row>
    <row r="8" spans="1:8" x14ac:dyDescent="0.25">
      <c r="C8" s="2"/>
      <c r="D8" s="2"/>
      <c r="E8" s="2"/>
      <c r="F8" s="1"/>
      <c r="G8" s="3"/>
      <c r="H8" s="3"/>
    </row>
    <row r="9" spans="1:8" x14ac:dyDescent="0.25">
      <c r="C9" s="2"/>
      <c r="D9" s="2"/>
      <c r="E9" s="2"/>
      <c r="F9" s="1"/>
      <c r="G9" s="3"/>
      <c r="H9" s="3"/>
    </row>
    <row r="10" spans="1:8" x14ac:dyDescent="0.25">
      <c r="C10" s="2"/>
      <c r="D10" s="2"/>
      <c r="E10" s="2"/>
      <c r="F10" s="1"/>
      <c r="G10" s="3"/>
      <c r="H10" s="3"/>
    </row>
    <row r="11" spans="1:8" x14ac:dyDescent="0.25">
      <c r="C11" s="2"/>
      <c r="D11" s="2"/>
      <c r="E11" s="2"/>
      <c r="F11" s="1"/>
      <c r="G11" s="3"/>
      <c r="H11" s="3"/>
    </row>
    <row r="12" spans="1:8" x14ac:dyDescent="0.25">
      <c r="C12" s="2"/>
      <c r="D12" s="2"/>
      <c r="E12" s="2"/>
      <c r="F12" s="1"/>
      <c r="G12" s="3"/>
      <c r="H12" s="3"/>
    </row>
    <row r="13" spans="1:8" x14ac:dyDescent="0.25">
      <c r="C13" s="2"/>
      <c r="D13" s="2"/>
      <c r="E13" s="2"/>
      <c r="F13" s="1"/>
      <c r="G13" s="3"/>
      <c r="H13" s="3"/>
    </row>
    <row r="14" spans="1:8" x14ac:dyDescent="0.25">
      <c r="C14" s="2"/>
      <c r="D14" s="2"/>
      <c r="E14" s="2"/>
      <c r="F14" s="1"/>
      <c r="G14" s="3"/>
      <c r="H14" s="3"/>
    </row>
    <row r="15" spans="1:8" x14ac:dyDescent="0.25">
      <c r="C15" s="2"/>
      <c r="D15" s="2"/>
      <c r="E15" s="2"/>
      <c r="F15" s="1"/>
      <c r="G15" s="3"/>
      <c r="H15" s="3"/>
    </row>
    <row r="16" spans="1:8" x14ac:dyDescent="0.25">
      <c r="C16" s="2"/>
      <c r="D16" s="2"/>
      <c r="E16" s="2"/>
      <c r="F16" s="1"/>
      <c r="G16" s="3"/>
      <c r="H16" s="3"/>
    </row>
    <row r="17" spans="3:8" ht="12.5" x14ac:dyDescent="0.25">
      <c r="C17" s="2"/>
      <c r="D17" s="2"/>
      <c r="E17" s="2"/>
      <c r="F17" s="1"/>
      <c r="G17" s="3"/>
      <c r="H17" s="3"/>
    </row>
    <row r="18" spans="3:8" ht="12.5" x14ac:dyDescent="0.25">
      <c r="C18" s="2"/>
      <c r="D18" s="2"/>
      <c r="E18" s="2"/>
      <c r="F18" s="1"/>
      <c r="G18" s="3"/>
      <c r="H18" s="3"/>
    </row>
    <row r="19" spans="3:8" ht="12.5" x14ac:dyDescent="0.25">
      <c r="C19" s="2"/>
      <c r="D19" s="2"/>
      <c r="E19" s="2"/>
      <c r="F19" s="1"/>
      <c r="G19" s="3"/>
      <c r="H19" s="3"/>
    </row>
    <row r="20" spans="3:8" ht="12.5" x14ac:dyDescent="0.25">
      <c r="C20" s="2"/>
      <c r="D20" s="2"/>
      <c r="E20" s="2"/>
      <c r="F20" s="1"/>
      <c r="G20" s="3"/>
      <c r="H20" s="3"/>
    </row>
    <row r="21" spans="3:8" ht="12.5" x14ac:dyDescent="0.25">
      <c r="C21" s="2"/>
      <c r="D21" s="2"/>
      <c r="E21" s="2"/>
      <c r="F21" s="1"/>
      <c r="G21" s="3"/>
      <c r="H21" s="3"/>
    </row>
    <row r="22" spans="3:8" ht="12.5" x14ac:dyDescent="0.25">
      <c r="C22" s="2"/>
      <c r="D22" s="2"/>
      <c r="E22" s="2"/>
      <c r="F22" s="1"/>
      <c r="G22" s="3"/>
      <c r="H22" s="3"/>
    </row>
    <row r="23" spans="3:8" ht="12.5" x14ac:dyDescent="0.25">
      <c r="C23" s="2"/>
      <c r="D23" s="2"/>
      <c r="E23" s="2"/>
      <c r="F23" s="1"/>
      <c r="G23" s="3"/>
      <c r="H23" s="3"/>
    </row>
    <row r="24" spans="3:8" ht="12.5" x14ac:dyDescent="0.25">
      <c r="C24" s="2"/>
      <c r="D24" s="2"/>
      <c r="E24" s="2"/>
      <c r="F24" s="1"/>
      <c r="G24" s="3"/>
      <c r="H24" s="3"/>
    </row>
    <row r="25" spans="3:8" ht="12.5" x14ac:dyDescent="0.25">
      <c r="C25" s="2"/>
      <c r="D25" s="2"/>
      <c r="E25" s="2"/>
      <c r="F25" s="1"/>
      <c r="G25" s="3"/>
      <c r="H25" s="3"/>
    </row>
    <row r="26" spans="3:8" ht="12.5" x14ac:dyDescent="0.25">
      <c r="C26" s="2"/>
      <c r="D26" s="2"/>
      <c r="E26" s="2"/>
      <c r="F26" s="1"/>
      <c r="G26" s="3"/>
      <c r="H26" s="3"/>
    </row>
    <row r="27" spans="3:8" ht="12.5" x14ac:dyDescent="0.25">
      <c r="C27" s="2"/>
      <c r="D27" s="2"/>
      <c r="E27" s="2"/>
      <c r="F27" s="1"/>
      <c r="G27" s="3"/>
      <c r="H27" s="3"/>
    </row>
    <row r="28" spans="3:8" ht="12.5" x14ac:dyDescent="0.25">
      <c r="C28" s="2"/>
      <c r="D28" s="2"/>
      <c r="E28" s="2"/>
      <c r="F28" s="1"/>
      <c r="G28" s="3"/>
      <c r="H28" s="3"/>
    </row>
    <row r="29" spans="3:8" ht="12.5" x14ac:dyDescent="0.25">
      <c r="C29" s="2"/>
      <c r="D29" s="2"/>
      <c r="E29" s="2"/>
      <c r="F29" s="1"/>
      <c r="G29" s="3"/>
      <c r="H29" s="3"/>
    </row>
    <row r="30" spans="3:8" ht="12.5" x14ac:dyDescent="0.25">
      <c r="C30" s="2"/>
      <c r="D30" s="2"/>
      <c r="E30" s="2"/>
      <c r="F30" s="1"/>
      <c r="G30" s="3"/>
      <c r="H30" s="3"/>
    </row>
    <row r="31" spans="3:8" ht="12.5" x14ac:dyDescent="0.25">
      <c r="C31" s="2"/>
      <c r="D31" s="2"/>
      <c r="E31" s="2"/>
      <c r="F31" s="1"/>
      <c r="G31" s="3"/>
      <c r="H31" s="3"/>
    </row>
    <row r="32" spans="3:8" ht="12.5" x14ac:dyDescent="0.25">
      <c r="C32" s="2"/>
      <c r="D32" s="2"/>
      <c r="E32" s="2"/>
      <c r="F32" s="1"/>
      <c r="G32" s="3"/>
      <c r="H32" s="3"/>
    </row>
    <row r="33" spans="3:8" ht="12.5" x14ac:dyDescent="0.25">
      <c r="C33" s="2"/>
      <c r="D33" s="2"/>
      <c r="E33" s="2"/>
      <c r="F33" s="1"/>
      <c r="G33" s="3"/>
      <c r="H33" s="3"/>
    </row>
    <row r="34" spans="3:8" ht="12.5" x14ac:dyDescent="0.25">
      <c r="C34" s="2"/>
      <c r="D34" s="2"/>
      <c r="E34" s="2"/>
      <c r="F34" s="1"/>
      <c r="G34" s="3"/>
      <c r="H34" s="3"/>
    </row>
    <row r="35" spans="3:8" ht="12.5" x14ac:dyDescent="0.25">
      <c r="C35" s="2"/>
      <c r="D35" s="2"/>
      <c r="E35" s="2"/>
      <c r="F35" s="1"/>
      <c r="G35" s="3"/>
      <c r="H35" s="3"/>
    </row>
    <row r="36" spans="3:8" ht="12.5" x14ac:dyDescent="0.25">
      <c r="C36" s="2"/>
      <c r="D36" s="2"/>
      <c r="E36" s="2"/>
      <c r="F36" s="1"/>
      <c r="G36" s="3"/>
      <c r="H36" s="3"/>
    </row>
    <row r="37" spans="3:8" ht="12.5" x14ac:dyDescent="0.25">
      <c r="C37" s="2"/>
      <c r="D37" s="2"/>
      <c r="E37" s="2"/>
      <c r="F37" s="1"/>
      <c r="G37" s="3"/>
      <c r="H37" s="3"/>
    </row>
    <row r="38" spans="3:8" ht="12.5" x14ac:dyDescent="0.25">
      <c r="C38" s="2"/>
      <c r="D38" s="2"/>
      <c r="E38" s="2"/>
      <c r="F38" s="1"/>
      <c r="G38" s="3"/>
      <c r="H38" s="3"/>
    </row>
    <row r="39" spans="3:8" ht="12.5" x14ac:dyDescent="0.25">
      <c r="C39" s="2"/>
      <c r="D39" s="2"/>
      <c r="E39" s="2"/>
      <c r="F39" s="1"/>
      <c r="G39" s="3"/>
      <c r="H39" s="3"/>
    </row>
    <row r="40" spans="3:8" ht="12.5" x14ac:dyDescent="0.25">
      <c r="C40" s="2"/>
      <c r="D40" s="2"/>
      <c r="E40" s="2"/>
      <c r="F40" s="1"/>
      <c r="G40" s="3"/>
      <c r="H40" s="3"/>
    </row>
    <row r="41" spans="3:8" ht="12.5" x14ac:dyDescent="0.25">
      <c r="C41" s="2"/>
      <c r="D41" s="2"/>
      <c r="E41" s="2"/>
      <c r="F41" s="1"/>
      <c r="G41" s="3"/>
      <c r="H41" s="3"/>
    </row>
    <row r="42" spans="3:8" ht="12.5" x14ac:dyDescent="0.25">
      <c r="C42" s="2"/>
      <c r="D42" s="2"/>
      <c r="E42" s="2"/>
      <c r="F42" s="1"/>
      <c r="G42" s="3"/>
      <c r="H42" s="3"/>
    </row>
    <row r="43" spans="3:8" ht="12.5" x14ac:dyDescent="0.25">
      <c r="C43" s="2"/>
      <c r="D43" s="2"/>
      <c r="E43" s="2"/>
      <c r="F43" s="1"/>
      <c r="G43" s="3"/>
      <c r="H43" s="3"/>
    </row>
    <row r="44" spans="3:8" ht="12.5" x14ac:dyDescent="0.25">
      <c r="C44" s="2"/>
      <c r="D44" s="2"/>
      <c r="E44" s="2"/>
      <c r="F44" s="1"/>
      <c r="G44" s="3"/>
      <c r="H44" s="3"/>
    </row>
    <row r="45" spans="3:8" ht="12.5" x14ac:dyDescent="0.25">
      <c r="C45" s="2"/>
      <c r="D45" s="2"/>
      <c r="E45" s="2"/>
      <c r="F45" s="1"/>
      <c r="G45" s="3"/>
      <c r="H45" s="3"/>
    </row>
    <row r="46" spans="3:8" ht="12.5" x14ac:dyDescent="0.25">
      <c r="C46" s="2"/>
      <c r="D46" s="2"/>
      <c r="E46" s="2"/>
      <c r="F46" s="1"/>
      <c r="G46" s="3"/>
      <c r="H46" s="3"/>
    </row>
    <row r="47" spans="3:8" ht="12.5" x14ac:dyDescent="0.25">
      <c r="C47" s="2"/>
      <c r="D47" s="2"/>
      <c r="E47" s="2"/>
      <c r="F47" s="1"/>
      <c r="G47" s="3"/>
      <c r="H47" s="3"/>
    </row>
    <row r="48" spans="3:8" ht="12.5" x14ac:dyDescent="0.25">
      <c r="C48" s="2"/>
      <c r="D48" s="2"/>
      <c r="E48" s="2"/>
      <c r="F48" s="1"/>
      <c r="G48" s="3"/>
      <c r="H48" s="3"/>
    </row>
    <row r="49" spans="3:8" ht="12.5" x14ac:dyDescent="0.25">
      <c r="C49" s="2"/>
      <c r="D49" s="2"/>
      <c r="E49" s="2"/>
      <c r="F49" s="1"/>
      <c r="G49" s="3"/>
      <c r="H49" s="3"/>
    </row>
    <row r="50" spans="3:8" ht="12.5" x14ac:dyDescent="0.25">
      <c r="C50" s="2"/>
      <c r="D50" s="2"/>
      <c r="E50" s="2"/>
      <c r="F50" s="1"/>
      <c r="G50" s="3"/>
      <c r="H50" s="3"/>
    </row>
    <row r="51" spans="3:8" ht="12.5" x14ac:dyDescent="0.25">
      <c r="C51" s="2"/>
      <c r="D51" s="2"/>
      <c r="E51" s="2"/>
      <c r="F51" s="1"/>
      <c r="G51" s="3"/>
      <c r="H51" s="3"/>
    </row>
    <row r="52" spans="3:8" ht="12.5" x14ac:dyDescent="0.25">
      <c r="C52" s="2"/>
      <c r="D52" s="2"/>
      <c r="E52" s="2"/>
      <c r="F52" s="1"/>
      <c r="G52" s="3"/>
      <c r="H52" s="3"/>
    </row>
    <row r="53" spans="3:8" ht="12.5" x14ac:dyDescent="0.25">
      <c r="C53" s="2"/>
      <c r="D53" s="2"/>
      <c r="E53" s="2"/>
      <c r="F53" s="1"/>
      <c r="G53" s="3"/>
      <c r="H53" s="3"/>
    </row>
    <row r="54" spans="3:8" ht="12.5" x14ac:dyDescent="0.25">
      <c r="C54" s="2"/>
      <c r="D54" s="2"/>
      <c r="E54" s="2"/>
      <c r="F54" s="1"/>
      <c r="G54" s="3"/>
      <c r="H54" s="3"/>
    </row>
    <row r="55" spans="3:8" ht="12.5" x14ac:dyDescent="0.25">
      <c r="C55" s="2"/>
      <c r="D55" s="2"/>
      <c r="E55" s="2"/>
      <c r="F55" s="1"/>
      <c r="G55" s="3"/>
      <c r="H55" s="3"/>
    </row>
    <row r="56" spans="3:8" ht="12.5" x14ac:dyDescent="0.25">
      <c r="C56" s="2"/>
      <c r="D56" s="2"/>
      <c r="E56" s="2"/>
      <c r="F56" s="1"/>
      <c r="G56" s="3"/>
      <c r="H56" s="3"/>
    </row>
    <row r="57" spans="3:8" ht="12.5" x14ac:dyDescent="0.25">
      <c r="C57" s="2"/>
      <c r="D57" s="2"/>
      <c r="E57" s="2"/>
      <c r="F57" s="1"/>
      <c r="G57" s="3"/>
      <c r="H57" s="3"/>
    </row>
    <row r="58" spans="3:8" ht="12.5" x14ac:dyDescent="0.25">
      <c r="C58" s="2"/>
      <c r="D58" s="2"/>
      <c r="E58" s="2"/>
      <c r="F58" s="1"/>
      <c r="G58" s="3"/>
      <c r="H58" s="3"/>
    </row>
    <row r="59" spans="3:8" ht="12.5" x14ac:dyDescent="0.25">
      <c r="C59" s="2"/>
      <c r="D59" s="2"/>
      <c r="E59" s="2"/>
      <c r="F59" s="1"/>
      <c r="G59" s="3"/>
      <c r="H59" s="3"/>
    </row>
    <row r="60" spans="3:8" ht="12.5" x14ac:dyDescent="0.25">
      <c r="C60" s="2"/>
      <c r="D60" s="2"/>
      <c r="E60" s="2"/>
      <c r="F60" s="1"/>
      <c r="G60" s="3"/>
      <c r="H60" s="3"/>
    </row>
    <row r="61" spans="3:8" ht="12.5" x14ac:dyDescent="0.25">
      <c r="C61" s="2"/>
      <c r="D61" s="2"/>
      <c r="E61" s="2"/>
      <c r="F61" s="1"/>
      <c r="G61" s="3"/>
      <c r="H61" s="3"/>
    </row>
    <row r="62" spans="3:8" ht="12.5" x14ac:dyDescent="0.25">
      <c r="C62" s="2"/>
      <c r="D62" s="2"/>
      <c r="E62" s="2"/>
      <c r="F62" s="1"/>
      <c r="G62" s="3"/>
      <c r="H62" s="3"/>
    </row>
    <row r="63" spans="3:8" ht="12.5" x14ac:dyDescent="0.25">
      <c r="C63" s="2"/>
      <c r="D63" s="2"/>
      <c r="E63" s="2"/>
      <c r="F63" s="1"/>
      <c r="G63" s="3"/>
      <c r="H63" s="3"/>
    </row>
    <row r="64" spans="3:8" ht="12.5" x14ac:dyDescent="0.25">
      <c r="C64" s="2"/>
      <c r="D64" s="2"/>
      <c r="E64" s="2"/>
      <c r="F64" s="1"/>
      <c r="G64" s="3"/>
      <c r="H64" s="3"/>
    </row>
    <row r="65" spans="3:8" ht="12.5" x14ac:dyDescent="0.25">
      <c r="C65" s="2"/>
      <c r="D65" s="2"/>
      <c r="E65" s="2"/>
      <c r="F65" s="1"/>
      <c r="G65" s="3"/>
      <c r="H65" s="3"/>
    </row>
    <row r="66" spans="3:8" ht="12.5" x14ac:dyDescent="0.25">
      <c r="C66" s="2"/>
      <c r="D66" s="2"/>
      <c r="E66" s="2"/>
      <c r="F66" s="1"/>
      <c r="G66" s="3"/>
      <c r="H66" s="3"/>
    </row>
    <row r="67" spans="3:8" ht="12.5" x14ac:dyDescent="0.25">
      <c r="C67" s="2"/>
      <c r="D67" s="2"/>
      <c r="E67" s="2"/>
      <c r="F67" s="1"/>
      <c r="G67" s="3"/>
      <c r="H67" s="3"/>
    </row>
    <row r="68" spans="3:8" ht="12.5" x14ac:dyDescent="0.25">
      <c r="C68" s="2"/>
      <c r="D68" s="2"/>
      <c r="E68" s="2"/>
      <c r="F68" s="1"/>
      <c r="G68" s="3"/>
      <c r="H68" s="3"/>
    </row>
    <row r="69" spans="3:8" ht="12.5" x14ac:dyDescent="0.25">
      <c r="C69" s="2"/>
      <c r="D69" s="2"/>
      <c r="E69" s="2"/>
      <c r="F69" s="1"/>
      <c r="G69" s="3"/>
      <c r="H69" s="3"/>
    </row>
    <row r="70" spans="3:8" ht="12.5" x14ac:dyDescent="0.25">
      <c r="C70" s="2"/>
      <c r="D70" s="2"/>
      <c r="E70" s="2"/>
      <c r="F70" s="1"/>
      <c r="G70" s="3"/>
      <c r="H70" s="3"/>
    </row>
    <row r="71" spans="3:8" ht="12.5" x14ac:dyDescent="0.25">
      <c r="C71" s="2"/>
      <c r="D71" s="2"/>
      <c r="E71" s="2"/>
      <c r="F71" s="1"/>
      <c r="G71" s="3"/>
      <c r="H71" s="3"/>
    </row>
    <row r="72" spans="3:8" ht="12.5" x14ac:dyDescent="0.25">
      <c r="C72" s="2"/>
      <c r="D72" s="2"/>
      <c r="E72" s="2"/>
      <c r="F72" s="1"/>
      <c r="G72" s="3"/>
      <c r="H72" s="3"/>
    </row>
    <row r="73" spans="3:8" ht="12.5" x14ac:dyDescent="0.25">
      <c r="C73" s="2"/>
      <c r="D73" s="2"/>
      <c r="E73" s="2"/>
      <c r="F73" s="1"/>
      <c r="G73" s="3"/>
      <c r="H73" s="3"/>
    </row>
    <row r="74" spans="3:8" ht="12.5" x14ac:dyDescent="0.25">
      <c r="C74" s="2"/>
      <c r="D74" s="2"/>
      <c r="E74" s="2"/>
      <c r="F74" s="1"/>
      <c r="G74" s="3"/>
      <c r="H74" s="3"/>
    </row>
    <row r="75" spans="3:8" ht="12.5" x14ac:dyDescent="0.25">
      <c r="C75" s="2"/>
      <c r="D75" s="2"/>
      <c r="E75" s="2"/>
      <c r="F75" s="1"/>
      <c r="G75" s="3"/>
      <c r="H75" s="3"/>
    </row>
    <row r="76" spans="3:8" ht="12.5" x14ac:dyDescent="0.25">
      <c r="C76" s="2"/>
      <c r="D76" s="2"/>
      <c r="E76" s="2"/>
      <c r="F76" s="1"/>
      <c r="G76" s="3"/>
      <c r="H76" s="3"/>
    </row>
    <row r="77" spans="3:8" ht="12.5" x14ac:dyDescent="0.25">
      <c r="C77" s="2"/>
      <c r="D77" s="2"/>
      <c r="E77" s="2"/>
      <c r="F77" s="1"/>
      <c r="G77" s="3"/>
      <c r="H77" s="3"/>
    </row>
    <row r="78" spans="3:8" ht="12.5" x14ac:dyDescent="0.25">
      <c r="C78" s="2"/>
      <c r="D78" s="2"/>
      <c r="E78" s="2"/>
      <c r="F78" s="1"/>
      <c r="G78" s="3"/>
      <c r="H78" s="3"/>
    </row>
    <row r="79" spans="3:8" ht="12.5" x14ac:dyDescent="0.25">
      <c r="C79" s="2"/>
      <c r="D79" s="2"/>
      <c r="E79" s="2"/>
      <c r="F79" s="1"/>
      <c r="G79" s="3"/>
      <c r="H79" s="3"/>
    </row>
    <row r="80" spans="3:8" ht="12.5" x14ac:dyDescent="0.25">
      <c r="C80" s="2"/>
      <c r="D80" s="2"/>
      <c r="E80" s="2"/>
      <c r="F80" s="1"/>
      <c r="G80" s="3"/>
      <c r="H80" s="3"/>
    </row>
    <row r="81" spans="3:8" ht="12.5" x14ac:dyDescent="0.25">
      <c r="C81" s="2"/>
      <c r="D81" s="2"/>
      <c r="E81" s="2"/>
      <c r="F81" s="1"/>
      <c r="G81" s="3"/>
      <c r="H81" s="3"/>
    </row>
    <row r="82" spans="3:8" ht="12.5" x14ac:dyDescent="0.25">
      <c r="C82" s="2"/>
      <c r="D82" s="2"/>
      <c r="E82" s="2"/>
      <c r="F82" s="1"/>
      <c r="G82" s="3"/>
      <c r="H82" s="3"/>
    </row>
    <row r="83" spans="3:8" ht="12.5" x14ac:dyDescent="0.25">
      <c r="C83" s="2"/>
      <c r="D83" s="2"/>
      <c r="E83" s="2"/>
      <c r="F83" s="1"/>
      <c r="G83" s="3"/>
      <c r="H83" s="3"/>
    </row>
    <row r="84" spans="3:8" ht="12.5" x14ac:dyDescent="0.25">
      <c r="C84" s="2"/>
      <c r="D84" s="2"/>
      <c r="E84" s="2"/>
      <c r="F84" s="1"/>
      <c r="G84" s="3"/>
      <c r="H84" s="3"/>
    </row>
    <row r="85" spans="3:8" ht="12.5" x14ac:dyDescent="0.25">
      <c r="C85" s="2"/>
      <c r="D85" s="2"/>
      <c r="E85" s="2"/>
      <c r="F85" s="1"/>
      <c r="G85" s="3"/>
      <c r="H85" s="3"/>
    </row>
    <row r="86" spans="3:8" ht="12.5" x14ac:dyDescent="0.25">
      <c r="C86" s="2"/>
      <c r="D86" s="2"/>
      <c r="E86" s="2"/>
      <c r="F86" s="1"/>
      <c r="G86" s="3"/>
      <c r="H86" s="3"/>
    </row>
    <row r="87" spans="3:8" ht="12.5" x14ac:dyDescent="0.25">
      <c r="C87" s="2"/>
      <c r="D87" s="2"/>
      <c r="E87" s="2"/>
      <c r="F87" s="1"/>
      <c r="G87" s="3"/>
      <c r="H87" s="3"/>
    </row>
    <row r="88" spans="3:8" ht="12.5" x14ac:dyDescent="0.25">
      <c r="C88" s="2"/>
      <c r="D88" s="2"/>
      <c r="E88" s="2"/>
      <c r="F88" s="1"/>
      <c r="G88" s="3"/>
      <c r="H88" s="3"/>
    </row>
    <row r="89" spans="3:8" ht="12.5" x14ac:dyDescent="0.25">
      <c r="C89" s="2"/>
      <c r="D89" s="2"/>
      <c r="E89" s="2"/>
      <c r="F89" s="1"/>
      <c r="G89" s="3"/>
      <c r="H89" s="3"/>
    </row>
    <row r="90" spans="3:8" ht="12.5" x14ac:dyDescent="0.25">
      <c r="C90" s="2"/>
      <c r="D90" s="2"/>
      <c r="E90" s="2"/>
      <c r="F90" s="1"/>
      <c r="G90" s="3"/>
      <c r="H90" s="3"/>
    </row>
    <row r="91" spans="3:8" ht="12.5" x14ac:dyDescent="0.25">
      <c r="C91" s="2"/>
      <c r="D91" s="2"/>
      <c r="E91" s="2"/>
      <c r="F91" s="1"/>
      <c r="G91" s="3"/>
      <c r="H91" s="3"/>
    </row>
    <row r="92" spans="3:8" ht="12.5" x14ac:dyDescent="0.25">
      <c r="C92" s="2"/>
      <c r="D92" s="2"/>
      <c r="E92" s="2"/>
      <c r="F92" s="1"/>
      <c r="G92" s="3"/>
      <c r="H92" s="3"/>
    </row>
    <row r="93" spans="3:8" ht="12.5" x14ac:dyDescent="0.25">
      <c r="C93" s="2"/>
      <c r="D93" s="2"/>
      <c r="E93" s="2"/>
      <c r="F93" s="1"/>
      <c r="G93" s="3"/>
      <c r="H93" s="3"/>
    </row>
    <row r="94" spans="3:8" ht="12.5" x14ac:dyDescent="0.25">
      <c r="C94" s="2"/>
      <c r="D94" s="2"/>
      <c r="E94" s="2"/>
      <c r="F94" s="1"/>
      <c r="G94" s="3"/>
      <c r="H94" s="3"/>
    </row>
    <row r="95" spans="3:8" ht="12.5" x14ac:dyDescent="0.25">
      <c r="C95" s="2"/>
      <c r="D95" s="2"/>
      <c r="E95" s="2"/>
      <c r="F95" s="1"/>
      <c r="G95" s="3"/>
      <c r="H95" s="3"/>
    </row>
    <row r="96" spans="3:8" ht="12.5" x14ac:dyDescent="0.25">
      <c r="C96" s="2"/>
      <c r="D96" s="2"/>
      <c r="E96" s="2"/>
      <c r="F96" s="1"/>
      <c r="G96" s="3"/>
      <c r="H96" s="3"/>
    </row>
    <row r="97" spans="3:8" ht="12.5" x14ac:dyDescent="0.25">
      <c r="C97" s="2"/>
      <c r="D97" s="2"/>
      <c r="E97" s="2"/>
      <c r="F97" s="1"/>
      <c r="G97" s="3"/>
      <c r="H97" s="3"/>
    </row>
    <row r="98" spans="3:8" ht="12.5" x14ac:dyDescent="0.25">
      <c r="C98" s="2"/>
      <c r="D98" s="2"/>
      <c r="E98" s="2"/>
      <c r="F98" s="1"/>
      <c r="G98" s="3"/>
      <c r="H98" s="3"/>
    </row>
    <row r="99" spans="3:8" ht="12.5" x14ac:dyDescent="0.25">
      <c r="C99" s="2"/>
      <c r="D99" s="2"/>
      <c r="E99" s="2"/>
      <c r="F99" s="1"/>
      <c r="G99" s="3"/>
      <c r="H99" s="3"/>
    </row>
    <row r="100" spans="3:8" ht="12.5" x14ac:dyDescent="0.25">
      <c r="C100" s="2"/>
      <c r="D100" s="2"/>
      <c r="E100" s="2"/>
      <c r="F100" s="1"/>
      <c r="G100" s="3"/>
      <c r="H100" s="3"/>
    </row>
    <row r="101" spans="3:8" ht="12.5" x14ac:dyDescent="0.25">
      <c r="C101" s="2"/>
      <c r="D101" s="2"/>
      <c r="E101" s="2"/>
      <c r="F101" s="1"/>
      <c r="G101" s="3"/>
      <c r="H101" s="3"/>
    </row>
  </sheetData>
  <mergeCells count="2">
    <mergeCell ref="A1:H1"/>
    <mergeCell ref="A2:H2"/>
  </mergeCells>
  <conditionalFormatting sqref="G5:G6">
    <cfRule type="cellIs" dxfId="23" priority="1" operator="greaterThan">
      <formula>0</formula>
    </cfRule>
  </conditionalFormatting>
  <conditionalFormatting sqref="G5:G6">
    <cfRule type="cellIs" dxfId="22" priority="2" operator="lessThan">
      <formula>0</formula>
    </cfRule>
  </conditionalFormatting>
  <conditionalFormatting sqref="H5:H6">
    <cfRule type="cellIs" dxfId="21" priority="3" operator="greaterThan">
      <formula>0</formula>
    </cfRule>
  </conditionalFormatting>
  <conditionalFormatting sqref="H5:H6">
    <cfRule type="cellIs" dxfId="20" priority="4" operator="lessThan">
      <formula>0</formula>
    </cfRule>
  </conditionalFormatting>
  <pageMargins left="0.7" right="0.7" top="0.75" bottom="0.75" header="0.3" footer="0.3"/>
  <headerFooter>
    <oddHeader>&amp;L&amp;"Arial"&amp;9&amp;KA80000 CONFIDENTIAL&amp;1#_x000D_</oddHead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outlinePr summaryBelow="0" summaryRight="0"/>
  </sheetPr>
  <dimension ref="A1:H100"/>
  <sheetViews>
    <sheetView workbookViewId="0">
      <selection activeCell="K17" sqref="K17"/>
    </sheetView>
  </sheetViews>
  <sheetFormatPr defaultColWidth="12.6328125" defaultRowHeight="15" customHeight="1" x14ac:dyDescent="0.25"/>
  <cols>
    <col min="1" max="1" width="24.54296875" customWidth="1"/>
    <col min="2" max="2" width="36.36328125" customWidth="1"/>
    <col min="3" max="3" width="13.6328125" customWidth="1"/>
    <col min="4" max="4" width="15.453125" customWidth="1"/>
    <col min="5" max="5" width="13.6328125" customWidth="1"/>
    <col min="6" max="6" width="12.7265625" customWidth="1"/>
    <col min="7" max="8" width="15.453125" customWidth="1"/>
  </cols>
  <sheetData>
    <row r="1" spans="1:8" ht="30" customHeight="1" x14ac:dyDescent="0.25">
      <c r="A1" s="24" t="s">
        <v>107</v>
      </c>
      <c r="B1" s="24"/>
      <c r="C1" s="24"/>
      <c r="D1" s="24"/>
      <c r="E1" s="24"/>
      <c r="F1" s="24"/>
      <c r="G1" s="24"/>
      <c r="H1" s="24"/>
    </row>
    <row r="2" spans="1:8" ht="22" customHeight="1" x14ac:dyDescent="0.25">
      <c r="A2" s="25" t="s">
        <v>106</v>
      </c>
      <c r="B2" s="25"/>
      <c r="C2" s="25"/>
      <c r="D2" s="25"/>
      <c r="E2" s="25"/>
      <c r="F2" s="25"/>
      <c r="G2" s="25"/>
      <c r="H2" s="25"/>
    </row>
    <row r="3" spans="1:8" ht="15" customHeight="1" x14ac:dyDescent="0.3">
      <c r="A3" s="7"/>
      <c r="B3" s="7"/>
      <c r="C3" s="7"/>
      <c r="D3" s="7"/>
      <c r="E3" s="7"/>
      <c r="F3" s="7"/>
      <c r="G3" s="7"/>
      <c r="H3" s="7"/>
    </row>
    <row r="4" spans="1:8" ht="30" customHeight="1" x14ac:dyDescent="0.3">
      <c r="A4" s="27" t="s">
        <v>16</v>
      </c>
      <c r="B4" s="27" t="s">
        <v>17</v>
      </c>
      <c r="C4" s="27" t="s">
        <v>18</v>
      </c>
      <c r="D4" s="27" t="s">
        <v>19</v>
      </c>
      <c r="E4" s="27" t="s">
        <v>20</v>
      </c>
      <c r="F4" s="27" t="s">
        <v>21</v>
      </c>
      <c r="G4" s="27" t="s">
        <v>22</v>
      </c>
      <c r="H4" s="27" t="s">
        <v>23</v>
      </c>
    </row>
    <row r="5" spans="1:8" ht="39" x14ac:dyDescent="0.3">
      <c r="A5" s="7" t="s">
        <v>33</v>
      </c>
      <c r="B5" s="28" t="str">
        <f ca="1">IFERROR(__xludf.DUMMYFUNCTION("GOOGLEFINANCE(""MUTF_IN:""&amp;A5,""NAME"")"),"Tata Arbitrage Fund Direct Growth")</f>
        <v>Tata Arbitrage Fund Direct Growth</v>
      </c>
      <c r="C5" s="29">
        <v>15.87</v>
      </c>
      <c r="D5" s="29">
        <f ca="1">IFERROR(__xludf.DUMMYFUNCTION("GOOGLEFINANCE(""MUTF_IN:""&amp;A5,""closeyest"")"),16.34)</f>
        <v>16.34</v>
      </c>
      <c r="E5" s="29">
        <f ca="1">IFERROR(__xludf.DUMMYFUNCTION("GOOGLEFINANCE(""MUTF_IN:""&amp;A5,""price"")"),16.34)</f>
        <v>16.34</v>
      </c>
      <c r="F5" s="26">
        <v>63326.025000000001</v>
      </c>
      <c r="G5" s="29">
        <f ca="1">IF(OR(PaviMF!$D5="",PaviMF!$E5="",PaviMF!$F5=""),"",(PaviMF!$E5-PaviMF!$D5)*PaviMF!$F5)</f>
        <v>0</v>
      </c>
      <c r="H5" s="29">
        <f ca="1">IF(OR(PaviMF!$C5="",PaviMF!$E5="",PaviMF!$F5=""),"",(PaviMF!$E5-PaviMF!$C5)*PaviMF!$F5)</f>
        <v>29763.231750000043</v>
      </c>
    </row>
    <row r="6" spans="1:8" x14ac:dyDescent="0.25">
      <c r="C6" s="2"/>
      <c r="D6" s="2"/>
      <c r="E6" s="2"/>
      <c r="F6" s="1"/>
      <c r="G6" s="3"/>
      <c r="H6" s="3"/>
    </row>
    <row r="7" spans="1:8" x14ac:dyDescent="0.25">
      <c r="C7" s="2"/>
      <c r="D7" s="2"/>
      <c r="E7" s="2"/>
      <c r="F7" s="1"/>
      <c r="G7" s="3"/>
      <c r="H7" s="3"/>
    </row>
    <row r="8" spans="1:8" x14ac:dyDescent="0.25">
      <c r="C8" s="2"/>
      <c r="D8" s="2"/>
      <c r="E8" s="2"/>
      <c r="F8" s="1"/>
      <c r="G8" s="3"/>
      <c r="H8" s="3"/>
    </row>
    <row r="9" spans="1:8" x14ac:dyDescent="0.25">
      <c r="C9" s="2"/>
      <c r="D9" s="2"/>
      <c r="E9" s="2"/>
      <c r="F9" s="1"/>
      <c r="G9" s="3"/>
      <c r="H9" s="3"/>
    </row>
    <row r="10" spans="1:8" x14ac:dyDescent="0.25">
      <c r="C10" s="2"/>
      <c r="D10" s="2"/>
      <c r="E10" s="2"/>
      <c r="F10" s="1"/>
      <c r="G10" s="3"/>
      <c r="H10" s="3"/>
    </row>
    <row r="11" spans="1:8" x14ac:dyDescent="0.25">
      <c r="C11" s="2"/>
      <c r="D11" s="2"/>
      <c r="E11" s="2"/>
      <c r="F11" s="1"/>
      <c r="G11" s="3"/>
      <c r="H11" s="3"/>
    </row>
    <row r="12" spans="1:8" x14ac:dyDescent="0.25">
      <c r="C12" s="2"/>
      <c r="D12" s="2"/>
      <c r="E12" s="2"/>
      <c r="F12" s="1"/>
      <c r="G12" s="3"/>
      <c r="H12" s="3"/>
    </row>
    <row r="13" spans="1:8" x14ac:dyDescent="0.25">
      <c r="C13" s="2"/>
      <c r="D13" s="2"/>
      <c r="E13" s="2"/>
      <c r="F13" s="1"/>
      <c r="G13" s="3"/>
      <c r="H13" s="3"/>
    </row>
    <row r="14" spans="1:8" x14ac:dyDescent="0.25">
      <c r="C14" s="2"/>
      <c r="D14" s="2"/>
      <c r="E14" s="2"/>
      <c r="F14" s="1"/>
      <c r="G14" s="3"/>
      <c r="H14" s="3"/>
    </row>
    <row r="15" spans="1:8" x14ac:dyDescent="0.25">
      <c r="C15" s="2"/>
      <c r="D15" s="2"/>
      <c r="E15" s="2"/>
      <c r="F15" s="1"/>
      <c r="G15" s="3"/>
      <c r="H15" s="3"/>
    </row>
    <row r="16" spans="1:8" x14ac:dyDescent="0.25">
      <c r="C16" s="2"/>
      <c r="D16" s="2"/>
      <c r="E16" s="2"/>
      <c r="F16" s="1"/>
      <c r="G16" s="3"/>
      <c r="H16" s="3"/>
    </row>
    <row r="17" spans="3:8" ht="12.5" x14ac:dyDescent="0.25">
      <c r="C17" s="2"/>
      <c r="D17" s="2"/>
      <c r="E17" s="2"/>
      <c r="F17" s="1"/>
      <c r="G17" s="3"/>
      <c r="H17" s="3"/>
    </row>
    <row r="18" spans="3:8" ht="12.5" x14ac:dyDescent="0.25">
      <c r="C18" s="2"/>
      <c r="D18" s="2"/>
      <c r="E18" s="2"/>
      <c r="F18" s="1"/>
      <c r="G18" s="3"/>
      <c r="H18" s="3"/>
    </row>
    <row r="19" spans="3:8" ht="12.5" x14ac:dyDescent="0.25">
      <c r="C19" s="2"/>
      <c r="D19" s="2"/>
      <c r="E19" s="2"/>
      <c r="F19" s="1"/>
      <c r="G19" s="3"/>
      <c r="H19" s="3"/>
    </row>
    <row r="20" spans="3:8" ht="12.5" x14ac:dyDescent="0.25">
      <c r="C20" s="2"/>
      <c r="D20" s="2"/>
      <c r="E20" s="2"/>
      <c r="F20" s="1"/>
      <c r="G20" s="3"/>
      <c r="H20" s="3"/>
    </row>
    <row r="21" spans="3:8" ht="12.5" x14ac:dyDescent="0.25">
      <c r="C21" s="2"/>
      <c r="D21" s="2"/>
      <c r="E21" s="2"/>
      <c r="F21" s="1"/>
      <c r="G21" s="3"/>
      <c r="H21" s="3"/>
    </row>
    <row r="22" spans="3:8" ht="12.5" x14ac:dyDescent="0.25">
      <c r="C22" s="2"/>
      <c r="D22" s="2"/>
      <c r="E22" s="2"/>
      <c r="F22" s="1"/>
      <c r="G22" s="3"/>
      <c r="H22" s="3"/>
    </row>
    <row r="23" spans="3:8" ht="12.5" x14ac:dyDescent="0.25">
      <c r="C23" s="2"/>
      <c r="D23" s="2"/>
      <c r="E23" s="2"/>
      <c r="F23" s="1"/>
      <c r="G23" s="3"/>
      <c r="H23" s="3"/>
    </row>
    <row r="24" spans="3:8" ht="12.5" x14ac:dyDescent="0.25">
      <c r="C24" s="2"/>
      <c r="D24" s="2"/>
      <c r="E24" s="2"/>
      <c r="F24" s="1"/>
      <c r="G24" s="3"/>
      <c r="H24" s="3"/>
    </row>
    <row r="25" spans="3:8" ht="12.5" x14ac:dyDescent="0.25">
      <c r="C25" s="2"/>
      <c r="D25" s="2"/>
      <c r="E25" s="2"/>
      <c r="F25" s="1"/>
      <c r="G25" s="3"/>
      <c r="H25" s="3"/>
    </row>
    <row r="26" spans="3:8" ht="12.5" x14ac:dyDescent="0.25">
      <c r="C26" s="2"/>
      <c r="D26" s="2"/>
      <c r="E26" s="2"/>
      <c r="F26" s="1"/>
      <c r="G26" s="3"/>
      <c r="H26" s="3"/>
    </row>
    <row r="27" spans="3:8" ht="12.5" x14ac:dyDescent="0.25">
      <c r="C27" s="2"/>
      <c r="D27" s="2"/>
      <c r="E27" s="2"/>
      <c r="F27" s="1"/>
      <c r="G27" s="3"/>
      <c r="H27" s="3"/>
    </row>
    <row r="28" spans="3:8" ht="12.5" x14ac:dyDescent="0.25">
      <c r="C28" s="2"/>
      <c r="D28" s="2"/>
      <c r="E28" s="2"/>
      <c r="F28" s="1"/>
      <c r="G28" s="3"/>
      <c r="H28" s="3"/>
    </row>
    <row r="29" spans="3:8" ht="12.5" x14ac:dyDescent="0.25">
      <c r="C29" s="2"/>
      <c r="D29" s="2"/>
      <c r="E29" s="2"/>
      <c r="F29" s="1"/>
      <c r="G29" s="3"/>
      <c r="H29" s="3"/>
    </row>
    <row r="30" spans="3:8" ht="12.5" x14ac:dyDescent="0.25">
      <c r="C30" s="2"/>
      <c r="D30" s="2"/>
      <c r="E30" s="2"/>
      <c r="F30" s="1"/>
      <c r="G30" s="3"/>
      <c r="H30" s="3"/>
    </row>
    <row r="31" spans="3:8" ht="12.5" x14ac:dyDescent="0.25">
      <c r="C31" s="2"/>
      <c r="D31" s="2"/>
      <c r="E31" s="2"/>
      <c r="F31" s="1"/>
      <c r="G31" s="3"/>
      <c r="H31" s="3"/>
    </row>
    <row r="32" spans="3:8" ht="12.5" x14ac:dyDescent="0.25">
      <c r="C32" s="2"/>
      <c r="D32" s="2"/>
      <c r="E32" s="2"/>
      <c r="F32" s="1"/>
      <c r="G32" s="3"/>
      <c r="H32" s="3"/>
    </row>
    <row r="33" spans="3:8" ht="12.5" x14ac:dyDescent="0.25">
      <c r="C33" s="2"/>
      <c r="D33" s="2"/>
      <c r="E33" s="2"/>
      <c r="F33" s="1"/>
      <c r="G33" s="3"/>
      <c r="H33" s="3"/>
    </row>
    <row r="34" spans="3:8" ht="12.5" x14ac:dyDescent="0.25">
      <c r="C34" s="2"/>
      <c r="D34" s="2"/>
      <c r="E34" s="2"/>
      <c r="F34" s="1"/>
      <c r="G34" s="3"/>
      <c r="H34" s="3"/>
    </row>
    <row r="35" spans="3:8" ht="12.5" x14ac:dyDescent="0.25">
      <c r="C35" s="2"/>
      <c r="D35" s="2"/>
      <c r="E35" s="2"/>
      <c r="F35" s="1"/>
      <c r="G35" s="3"/>
      <c r="H35" s="3"/>
    </row>
    <row r="36" spans="3:8" ht="12.5" x14ac:dyDescent="0.25">
      <c r="C36" s="2"/>
      <c r="D36" s="2"/>
      <c r="E36" s="2"/>
      <c r="F36" s="1"/>
      <c r="G36" s="3"/>
      <c r="H36" s="3"/>
    </row>
    <row r="37" spans="3:8" ht="12.5" x14ac:dyDescent="0.25">
      <c r="C37" s="2"/>
      <c r="D37" s="2"/>
      <c r="E37" s="2"/>
      <c r="F37" s="1"/>
      <c r="G37" s="3"/>
      <c r="H37" s="3"/>
    </row>
    <row r="38" spans="3:8" ht="12.5" x14ac:dyDescent="0.25">
      <c r="C38" s="2"/>
      <c r="D38" s="2"/>
      <c r="E38" s="2"/>
      <c r="F38" s="1"/>
      <c r="G38" s="3"/>
      <c r="H38" s="3"/>
    </row>
    <row r="39" spans="3:8" ht="12.5" x14ac:dyDescent="0.25">
      <c r="C39" s="2"/>
      <c r="D39" s="2"/>
      <c r="E39" s="2"/>
      <c r="F39" s="1"/>
      <c r="G39" s="3"/>
      <c r="H39" s="3"/>
    </row>
    <row r="40" spans="3:8" ht="12.5" x14ac:dyDescent="0.25">
      <c r="C40" s="2"/>
      <c r="D40" s="2"/>
      <c r="E40" s="2"/>
      <c r="F40" s="1"/>
      <c r="G40" s="3"/>
      <c r="H40" s="3"/>
    </row>
    <row r="41" spans="3:8" ht="12.5" x14ac:dyDescent="0.25">
      <c r="C41" s="2"/>
      <c r="D41" s="2"/>
      <c r="E41" s="2"/>
      <c r="F41" s="1"/>
      <c r="G41" s="3"/>
      <c r="H41" s="3"/>
    </row>
    <row r="42" spans="3:8" ht="12.5" x14ac:dyDescent="0.25">
      <c r="C42" s="2"/>
      <c r="D42" s="2"/>
      <c r="E42" s="2"/>
      <c r="F42" s="1"/>
      <c r="G42" s="3"/>
      <c r="H42" s="3"/>
    </row>
    <row r="43" spans="3:8" ht="12.5" x14ac:dyDescent="0.25">
      <c r="C43" s="2"/>
      <c r="D43" s="2"/>
      <c r="E43" s="2"/>
      <c r="F43" s="1"/>
      <c r="G43" s="3"/>
      <c r="H43" s="3"/>
    </row>
    <row r="44" spans="3:8" ht="12.5" x14ac:dyDescent="0.25">
      <c r="C44" s="2"/>
      <c r="D44" s="2"/>
      <c r="E44" s="2"/>
      <c r="F44" s="1"/>
      <c r="G44" s="3"/>
      <c r="H44" s="3"/>
    </row>
    <row r="45" spans="3:8" ht="12.5" x14ac:dyDescent="0.25">
      <c r="C45" s="2"/>
      <c r="D45" s="2"/>
      <c r="E45" s="2"/>
      <c r="F45" s="1"/>
      <c r="G45" s="3"/>
      <c r="H45" s="3"/>
    </row>
    <row r="46" spans="3:8" ht="12.5" x14ac:dyDescent="0.25">
      <c r="C46" s="2"/>
      <c r="D46" s="2"/>
      <c r="E46" s="2"/>
      <c r="F46" s="1"/>
      <c r="G46" s="3"/>
      <c r="H46" s="3"/>
    </row>
    <row r="47" spans="3:8" ht="12.5" x14ac:dyDescent="0.25">
      <c r="C47" s="2"/>
      <c r="D47" s="2"/>
      <c r="E47" s="2"/>
      <c r="F47" s="1"/>
      <c r="G47" s="3"/>
      <c r="H47" s="3"/>
    </row>
    <row r="48" spans="3:8" ht="12.5" x14ac:dyDescent="0.25">
      <c r="C48" s="2"/>
      <c r="D48" s="2"/>
      <c r="E48" s="2"/>
      <c r="F48" s="1"/>
      <c r="G48" s="3"/>
      <c r="H48" s="3"/>
    </row>
    <row r="49" spans="3:8" ht="12.5" x14ac:dyDescent="0.25">
      <c r="C49" s="2"/>
      <c r="D49" s="2"/>
      <c r="E49" s="2"/>
      <c r="F49" s="1"/>
      <c r="G49" s="3"/>
      <c r="H49" s="3"/>
    </row>
    <row r="50" spans="3:8" ht="12.5" x14ac:dyDescent="0.25">
      <c r="C50" s="2"/>
      <c r="D50" s="2"/>
      <c r="E50" s="2"/>
      <c r="F50" s="1"/>
      <c r="G50" s="3"/>
      <c r="H50" s="3"/>
    </row>
    <row r="51" spans="3:8" ht="12.5" x14ac:dyDescent="0.25">
      <c r="C51" s="2"/>
      <c r="D51" s="2"/>
      <c r="E51" s="2"/>
      <c r="F51" s="1"/>
      <c r="G51" s="3"/>
      <c r="H51" s="3"/>
    </row>
    <row r="52" spans="3:8" ht="12.5" x14ac:dyDescent="0.25">
      <c r="C52" s="2"/>
      <c r="D52" s="2"/>
      <c r="E52" s="2"/>
      <c r="F52" s="1"/>
      <c r="G52" s="3"/>
      <c r="H52" s="3"/>
    </row>
    <row r="53" spans="3:8" ht="12.5" x14ac:dyDescent="0.25">
      <c r="C53" s="2"/>
      <c r="D53" s="2"/>
      <c r="E53" s="2"/>
      <c r="F53" s="1"/>
      <c r="G53" s="3"/>
      <c r="H53" s="3"/>
    </row>
    <row r="54" spans="3:8" ht="12.5" x14ac:dyDescent="0.25">
      <c r="C54" s="2"/>
      <c r="D54" s="2"/>
      <c r="E54" s="2"/>
      <c r="F54" s="1"/>
      <c r="G54" s="3"/>
      <c r="H54" s="3"/>
    </row>
    <row r="55" spans="3:8" ht="12.5" x14ac:dyDescent="0.25">
      <c r="C55" s="2"/>
      <c r="D55" s="2"/>
      <c r="E55" s="2"/>
      <c r="F55" s="1"/>
      <c r="G55" s="3"/>
      <c r="H55" s="3"/>
    </row>
    <row r="56" spans="3:8" ht="12.5" x14ac:dyDescent="0.25">
      <c r="C56" s="2"/>
      <c r="D56" s="2"/>
      <c r="E56" s="2"/>
      <c r="F56" s="1"/>
      <c r="G56" s="3"/>
      <c r="H56" s="3"/>
    </row>
    <row r="57" spans="3:8" ht="12.5" x14ac:dyDescent="0.25">
      <c r="C57" s="2"/>
      <c r="D57" s="2"/>
      <c r="E57" s="2"/>
      <c r="F57" s="1"/>
      <c r="G57" s="3"/>
      <c r="H57" s="3"/>
    </row>
    <row r="58" spans="3:8" ht="12.5" x14ac:dyDescent="0.25">
      <c r="C58" s="2"/>
      <c r="D58" s="2"/>
      <c r="E58" s="2"/>
      <c r="F58" s="1"/>
      <c r="G58" s="3"/>
      <c r="H58" s="3"/>
    </row>
    <row r="59" spans="3:8" ht="12.5" x14ac:dyDescent="0.25">
      <c r="C59" s="2"/>
      <c r="D59" s="2"/>
      <c r="E59" s="2"/>
      <c r="F59" s="1"/>
      <c r="G59" s="3"/>
      <c r="H59" s="3"/>
    </row>
    <row r="60" spans="3:8" ht="12.5" x14ac:dyDescent="0.25">
      <c r="C60" s="2"/>
      <c r="D60" s="2"/>
      <c r="E60" s="2"/>
      <c r="F60" s="1"/>
      <c r="G60" s="3"/>
      <c r="H60" s="3"/>
    </row>
    <row r="61" spans="3:8" ht="12.5" x14ac:dyDescent="0.25">
      <c r="C61" s="2"/>
      <c r="D61" s="2"/>
      <c r="E61" s="2"/>
      <c r="F61" s="1"/>
      <c r="G61" s="3"/>
      <c r="H61" s="3"/>
    </row>
    <row r="62" spans="3:8" ht="12.5" x14ac:dyDescent="0.25">
      <c r="C62" s="2"/>
      <c r="D62" s="2"/>
      <c r="E62" s="2"/>
      <c r="F62" s="1"/>
      <c r="G62" s="3"/>
      <c r="H62" s="3"/>
    </row>
    <row r="63" spans="3:8" ht="12.5" x14ac:dyDescent="0.25">
      <c r="C63" s="2"/>
      <c r="D63" s="2"/>
      <c r="E63" s="2"/>
      <c r="F63" s="1"/>
      <c r="G63" s="3"/>
      <c r="H63" s="3"/>
    </row>
    <row r="64" spans="3:8" ht="12.5" x14ac:dyDescent="0.25">
      <c r="C64" s="2"/>
      <c r="D64" s="2"/>
      <c r="E64" s="2"/>
      <c r="F64" s="1"/>
      <c r="G64" s="3"/>
      <c r="H64" s="3"/>
    </row>
    <row r="65" spans="3:8" ht="12.5" x14ac:dyDescent="0.25">
      <c r="C65" s="2"/>
      <c r="D65" s="2"/>
      <c r="E65" s="2"/>
      <c r="F65" s="1"/>
      <c r="G65" s="3"/>
      <c r="H65" s="3"/>
    </row>
    <row r="66" spans="3:8" ht="12.5" x14ac:dyDescent="0.25">
      <c r="C66" s="2"/>
      <c r="D66" s="2"/>
      <c r="E66" s="2"/>
      <c r="F66" s="1"/>
      <c r="G66" s="3"/>
      <c r="H66" s="3"/>
    </row>
    <row r="67" spans="3:8" ht="12.5" x14ac:dyDescent="0.25">
      <c r="C67" s="2"/>
      <c r="D67" s="2"/>
      <c r="E67" s="2"/>
      <c r="F67" s="1"/>
      <c r="G67" s="3"/>
      <c r="H67" s="3"/>
    </row>
    <row r="68" spans="3:8" ht="12.5" x14ac:dyDescent="0.25">
      <c r="C68" s="2"/>
      <c r="D68" s="2"/>
      <c r="E68" s="2"/>
      <c r="F68" s="1"/>
      <c r="G68" s="3"/>
      <c r="H68" s="3"/>
    </row>
    <row r="69" spans="3:8" ht="12.5" x14ac:dyDescent="0.25">
      <c r="C69" s="2"/>
      <c r="D69" s="2"/>
      <c r="E69" s="2"/>
      <c r="F69" s="1"/>
      <c r="G69" s="3"/>
      <c r="H69" s="3"/>
    </row>
    <row r="70" spans="3:8" ht="12.5" x14ac:dyDescent="0.25">
      <c r="C70" s="2"/>
      <c r="D70" s="2"/>
      <c r="E70" s="2"/>
      <c r="F70" s="1"/>
      <c r="G70" s="3"/>
      <c r="H70" s="3"/>
    </row>
    <row r="71" spans="3:8" ht="12.5" x14ac:dyDescent="0.25">
      <c r="C71" s="2"/>
      <c r="D71" s="2"/>
      <c r="E71" s="2"/>
      <c r="F71" s="1"/>
      <c r="G71" s="3"/>
      <c r="H71" s="3"/>
    </row>
    <row r="72" spans="3:8" ht="12.5" x14ac:dyDescent="0.25">
      <c r="C72" s="2"/>
      <c r="D72" s="2"/>
      <c r="E72" s="2"/>
      <c r="F72" s="1"/>
      <c r="G72" s="3"/>
      <c r="H72" s="3"/>
    </row>
    <row r="73" spans="3:8" ht="12.5" x14ac:dyDescent="0.25">
      <c r="C73" s="2"/>
      <c r="D73" s="2"/>
      <c r="E73" s="2"/>
      <c r="F73" s="1"/>
      <c r="G73" s="3"/>
      <c r="H73" s="3"/>
    </row>
    <row r="74" spans="3:8" ht="12.5" x14ac:dyDescent="0.25">
      <c r="C74" s="2"/>
      <c r="D74" s="2"/>
      <c r="E74" s="2"/>
      <c r="F74" s="1"/>
      <c r="G74" s="3"/>
      <c r="H74" s="3"/>
    </row>
    <row r="75" spans="3:8" ht="12.5" x14ac:dyDescent="0.25">
      <c r="C75" s="2"/>
      <c r="D75" s="2"/>
      <c r="E75" s="2"/>
      <c r="F75" s="1"/>
      <c r="G75" s="3"/>
      <c r="H75" s="3"/>
    </row>
    <row r="76" spans="3:8" ht="12.5" x14ac:dyDescent="0.25">
      <c r="C76" s="2"/>
      <c r="D76" s="2"/>
      <c r="E76" s="2"/>
      <c r="F76" s="1"/>
      <c r="G76" s="3"/>
      <c r="H76" s="3"/>
    </row>
    <row r="77" spans="3:8" ht="12.5" x14ac:dyDescent="0.25">
      <c r="C77" s="2"/>
      <c r="D77" s="2"/>
      <c r="E77" s="2"/>
      <c r="F77" s="1"/>
      <c r="G77" s="3"/>
      <c r="H77" s="3"/>
    </row>
    <row r="78" spans="3:8" ht="12.5" x14ac:dyDescent="0.25">
      <c r="C78" s="2"/>
      <c r="D78" s="2"/>
      <c r="E78" s="2"/>
      <c r="F78" s="1"/>
      <c r="G78" s="3"/>
      <c r="H78" s="3"/>
    </row>
    <row r="79" spans="3:8" ht="12.5" x14ac:dyDescent="0.25">
      <c r="C79" s="2"/>
      <c r="D79" s="2"/>
      <c r="E79" s="2"/>
      <c r="F79" s="1"/>
      <c r="G79" s="3"/>
      <c r="H79" s="3"/>
    </row>
    <row r="80" spans="3:8" ht="12.5" x14ac:dyDescent="0.25">
      <c r="C80" s="2"/>
      <c r="D80" s="2"/>
      <c r="E80" s="2"/>
      <c r="F80" s="1"/>
      <c r="G80" s="3"/>
      <c r="H80" s="3"/>
    </row>
    <row r="81" spans="3:8" ht="12.5" x14ac:dyDescent="0.25">
      <c r="C81" s="2"/>
      <c r="D81" s="2"/>
      <c r="E81" s="2"/>
      <c r="F81" s="1"/>
      <c r="G81" s="3"/>
      <c r="H81" s="3"/>
    </row>
    <row r="82" spans="3:8" ht="12.5" x14ac:dyDescent="0.25">
      <c r="C82" s="2"/>
      <c r="D82" s="2"/>
      <c r="E82" s="2"/>
      <c r="F82" s="1"/>
      <c r="G82" s="3"/>
      <c r="H82" s="3"/>
    </row>
    <row r="83" spans="3:8" ht="12.5" x14ac:dyDescent="0.25">
      <c r="C83" s="2"/>
      <c r="D83" s="2"/>
      <c r="E83" s="2"/>
      <c r="F83" s="1"/>
      <c r="G83" s="3"/>
      <c r="H83" s="3"/>
    </row>
    <row r="84" spans="3:8" ht="12.5" x14ac:dyDescent="0.25">
      <c r="C84" s="2"/>
      <c r="D84" s="2"/>
      <c r="E84" s="2"/>
      <c r="F84" s="1"/>
      <c r="G84" s="3"/>
      <c r="H84" s="3"/>
    </row>
    <row r="85" spans="3:8" ht="12.5" x14ac:dyDescent="0.25">
      <c r="C85" s="2"/>
      <c r="D85" s="2"/>
      <c r="E85" s="2"/>
      <c r="F85" s="1"/>
      <c r="G85" s="3"/>
      <c r="H85" s="3"/>
    </row>
    <row r="86" spans="3:8" ht="12.5" x14ac:dyDescent="0.25">
      <c r="C86" s="2"/>
      <c r="D86" s="2"/>
      <c r="E86" s="2"/>
      <c r="F86" s="1"/>
      <c r="G86" s="3"/>
      <c r="H86" s="3"/>
    </row>
    <row r="87" spans="3:8" ht="12.5" x14ac:dyDescent="0.25">
      <c r="C87" s="2"/>
      <c r="D87" s="2"/>
      <c r="E87" s="2"/>
      <c r="F87" s="1"/>
      <c r="G87" s="3"/>
      <c r="H87" s="3"/>
    </row>
    <row r="88" spans="3:8" ht="12.5" x14ac:dyDescent="0.25">
      <c r="C88" s="2"/>
      <c r="D88" s="2"/>
      <c r="E88" s="2"/>
      <c r="F88" s="1"/>
      <c r="G88" s="3"/>
      <c r="H88" s="3"/>
    </row>
    <row r="89" spans="3:8" ht="12.5" x14ac:dyDescent="0.25">
      <c r="C89" s="2"/>
      <c r="D89" s="2"/>
      <c r="E89" s="2"/>
      <c r="F89" s="1"/>
      <c r="G89" s="3"/>
      <c r="H89" s="3"/>
    </row>
    <row r="90" spans="3:8" ht="12.5" x14ac:dyDescent="0.25">
      <c r="C90" s="2"/>
      <c r="D90" s="2"/>
      <c r="E90" s="2"/>
      <c r="F90" s="1"/>
      <c r="G90" s="3"/>
      <c r="H90" s="3"/>
    </row>
    <row r="91" spans="3:8" ht="12.5" x14ac:dyDescent="0.25">
      <c r="C91" s="2"/>
      <c r="D91" s="2"/>
      <c r="E91" s="2"/>
      <c r="F91" s="1"/>
      <c r="G91" s="3"/>
      <c r="H91" s="3"/>
    </row>
    <row r="92" spans="3:8" ht="12.5" x14ac:dyDescent="0.25">
      <c r="C92" s="2"/>
      <c r="D92" s="2"/>
      <c r="E92" s="2"/>
      <c r="F92" s="1"/>
      <c r="G92" s="3"/>
      <c r="H92" s="3"/>
    </row>
    <row r="93" spans="3:8" ht="12.5" x14ac:dyDescent="0.25">
      <c r="C93" s="2"/>
      <c r="D93" s="2"/>
      <c r="E93" s="2"/>
      <c r="F93" s="1"/>
      <c r="G93" s="3"/>
      <c r="H93" s="3"/>
    </row>
    <row r="94" spans="3:8" ht="12.5" x14ac:dyDescent="0.25">
      <c r="C94" s="2"/>
      <c r="D94" s="2"/>
      <c r="E94" s="2"/>
      <c r="F94" s="1"/>
      <c r="G94" s="3"/>
      <c r="H94" s="3"/>
    </row>
    <row r="95" spans="3:8" ht="12.5" x14ac:dyDescent="0.25">
      <c r="C95" s="2"/>
      <c r="D95" s="2"/>
      <c r="E95" s="2"/>
      <c r="F95" s="1"/>
      <c r="G95" s="3"/>
      <c r="H95" s="3"/>
    </row>
    <row r="96" spans="3:8" ht="12.5" x14ac:dyDescent="0.25">
      <c r="C96" s="2"/>
      <c r="D96" s="2"/>
      <c r="E96" s="2"/>
      <c r="F96" s="1"/>
      <c r="G96" s="3"/>
      <c r="H96" s="3"/>
    </row>
    <row r="97" spans="3:8" ht="12.5" x14ac:dyDescent="0.25">
      <c r="C97" s="2"/>
      <c r="D97" s="2"/>
      <c r="E97" s="2"/>
      <c r="F97" s="1"/>
      <c r="G97" s="3"/>
      <c r="H97" s="3"/>
    </row>
    <row r="98" spans="3:8" ht="12.5" x14ac:dyDescent="0.25">
      <c r="C98" s="2"/>
      <c r="D98" s="2"/>
      <c r="E98" s="2"/>
      <c r="F98" s="1"/>
      <c r="G98" s="3"/>
      <c r="H98" s="3"/>
    </row>
    <row r="99" spans="3:8" ht="12.5" x14ac:dyDescent="0.25">
      <c r="C99" s="2"/>
      <c r="D99" s="2"/>
      <c r="E99" s="2"/>
      <c r="F99" s="1"/>
      <c r="G99" s="3"/>
      <c r="H99" s="3"/>
    </row>
    <row r="100" spans="3:8" ht="12.5" x14ac:dyDescent="0.25">
      <c r="C100" s="2"/>
      <c r="D100" s="2"/>
      <c r="E100" s="2"/>
      <c r="F100" s="1"/>
      <c r="G100" s="3"/>
      <c r="H100" s="3"/>
    </row>
  </sheetData>
  <mergeCells count="2">
    <mergeCell ref="A1:H1"/>
    <mergeCell ref="A2:H2"/>
  </mergeCells>
  <conditionalFormatting sqref="G5">
    <cfRule type="cellIs" dxfId="17" priority="1" operator="greaterThan">
      <formula>0</formula>
    </cfRule>
  </conditionalFormatting>
  <conditionalFormatting sqref="G5">
    <cfRule type="cellIs" dxfId="16" priority="2" operator="lessThan">
      <formula>0</formula>
    </cfRule>
  </conditionalFormatting>
  <conditionalFormatting sqref="H5">
    <cfRule type="cellIs" dxfId="15" priority="3" operator="greaterThan">
      <formula>0</formula>
    </cfRule>
  </conditionalFormatting>
  <conditionalFormatting sqref="H5">
    <cfRule type="cellIs" dxfId="14" priority="4" operator="lessThan">
      <formula>0</formula>
    </cfRule>
  </conditionalFormatting>
  <pageMargins left="0.7" right="0.7" top="0.75" bottom="0.75" header="0.3" footer="0.3"/>
  <headerFooter>
    <oddHeader>&amp;L&amp;"Arial"&amp;9&amp;KA80000 CONFIDENTIAL&amp;1#_x000D_</oddHead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05354-67E9-405F-B1AA-FBE4784BF0CF}">
  <sheetPr>
    <tabColor rgb="FFED7D31"/>
  </sheetPr>
  <dimension ref="A1:O200"/>
  <sheetViews>
    <sheetView topLeftCell="F1" workbookViewId="0">
      <selection activeCell="I6" sqref="I6"/>
    </sheetView>
  </sheetViews>
  <sheetFormatPr defaultRowHeight="12.5" x14ac:dyDescent="0.25"/>
  <cols>
    <col min="1" max="1" width="12.7265625" customWidth="1"/>
    <col min="2" max="2" width="24.54296875" customWidth="1"/>
    <col min="3" max="3" width="17.26953125" customWidth="1"/>
    <col min="4" max="4" width="16.36328125" customWidth="1"/>
    <col min="5" max="6" width="15.453125" customWidth="1"/>
    <col min="7" max="7" width="13.6328125" customWidth="1"/>
    <col min="8" max="8" width="19.08984375" customWidth="1"/>
    <col min="9" max="9" width="12.7265625" customWidth="1"/>
    <col min="10" max="10" width="13.6328125" customWidth="1"/>
    <col min="11" max="13" width="17.26953125" customWidth="1"/>
    <col min="14" max="14" width="16.36328125" customWidth="1"/>
    <col min="15" max="15" width="15.453125" customWidth="1"/>
  </cols>
  <sheetData>
    <row r="1" spans="1:15" ht="30" customHeight="1" x14ac:dyDescent="0.55000000000000004">
      <c r="A1" s="6" t="s">
        <v>108</v>
      </c>
      <c r="B1" s="6"/>
      <c r="C1" s="6"/>
      <c r="D1" s="6"/>
      <c r="E1" s="6"/>
      <c r="F1" s="6"/>
      <c r="G1" s="6"/>
      <c r="H1" s="6"/>
      <c r="I1" s="6"/>
      <c r="J1" s="6"/>
      <c r="K1" s="6"/>
      <c r="L1" s="6"/>
      <c r="M1" s="6"/>
      <c r="N1" s="6"/>
      <c r="O1" s="6"/>
    </row>
    <row r="2" spans="1:15" ht="13" x14ac:dyDescent="0.3">
      <c r="A2" s="9" t="s">
        <v>109</v>
      </c>
      <c r="B2" s="9"/>
      <c r="C2" s="9"/>
      <c r="D2" s="9"/>
      <c r="E2" s="9"/>
      <c r="F2" s="9"/>
      <c r="G2" s="9"/>
      <c r="H2" s="9"/>
      <c r="I2" s="9"/>
      <c r="J2" s="9"/>
      <c r="K2" s="9"/>
      <c r="L2" s="9"/>
      <c r="M2" s="9"/>
      <c r="N2" s="9"/>
      <c r="O2" s="9"/>
    </row>
    <row r="3" spans="1:15" ht="13" x14ac:dyDescent="0.3">
      <c r="A3" s="7"/>
      <c r="B3" s="7"/>
      <c r="C3" s="7"/>
      <c r="D3" s="7"/>
      <c r="E3" s="7"/>
      <c r="F3" s="7"/>
      <c r="G3" s="7"/>
      <c r="H3" s="7"/>
      <c r="I3" s="7"/>
      <c r="J3" s="7"/>
      <c r="K3" s="7"/>
      <c r="L3" s="7"/>
      <c r="M3" s="7"/>
      <c r="N3" s="7"/>
      <c r="O3" s="7"/>
    </row>
    <row r="4" spans="1:15" ht="30" customHeight="1" x14ac:dyDescent="0.3">
      <c r="A4" s="27" t="s">
        <v>110</v>
      </c>
      <c r="B4" s="27" t="s">
        <v>111</v>
      </c>
      <c r="C4" s="27" t="s">
        <v>112</v>
      </c>
      <c r="D4" s="27" t="s">
        <v>113</v>
      </c>
      <c r="E4" s="27" t="s">
        <v>114</v>
      </c>
      <c r="F4" s="27" t="s">
        <v>115</v>
      </c>
      <c r="G4" s="27" t="s">
        <v>116</v>
      </c>
      <c r="H4" s="27" t="s">
        <v>117</v>
      </c>
      <c r="I4" s="27" t="s">
        <v>124</v>
      </c>
      <c r="J4" s="27" t="s">
        <v>118</v>
      </c>
      <c r="K4" s="27" t="s">
        <v>119</v>
      </c>
      <c r="L4" s="27" t="s">
        <v>120</v>
      </c>
      <c r="M4" s="27" t="s">
        <v>121</v>
      </c>
      <c r="N4" s="27" t="s">
        <v>122</v>
      </c>
      <c r="O4" s="27" t="s">
        <v>123</v>
      </c>
    </row>
    <row r="5" spans="1:15" ht="13" x14ac:dyDescent="0.3">
      <c r="A5" s="30" t="s">
        <v>8</v>
      </c>
      <c r="B5" s="30"/>
      <c r="C5" s="30"/>
      <c r="D5" s="31"/>
      <c r="E5" s="32"/>
      <c r="F5" s="32"/>
      <c r="G5" s="34"/>
      <c r="H5" s="30"/>
      <c r="I5" s="26" t="str">
        <f>IF(H5="","",IF(H5="Simple",0,IF(H5="Monthly",12,IF(H5="Quarterly",4,IF(H5="Half-yearly",2,IF(H5="Annually",1,""))))))</f>
        <v/>
      </c>
      <c r="J5" s="26" t="str">
        <f>IF(OR(E5="",F5=""),"",MAX(0,F5-E5))</f>
        <v/>
      </c>
      <c r="K5" s="29" t="str">
        <f>IF(OR(D5="",G5="",J5="",I5=""),"",IF(I5=0,D5*(1+G5*J5/365),D5*(1+G5/I5)^(I5*J5/365)))</f>
        <v/>
      </c>
      <c r="L5" s="29" t="str">
        <f ca="1">IF(OR(D5="",E5="",J5="",G5="",I5=""),"",IF(I5=0,D5*(1+G5*MIN(MAX(TODAY()-E5,0),J5)/365),D5*(1+G5/I5)^(I5*MIN(MAX(TODAY()-E5,0),J5)/365)))</f>
        <v/>
      </c>
      <c r="M5" s="29" t="str">
        <f ca="1">IF(L5="","",L5-D5)</f>
        <v/>
      </c>
      <c r="N5" s="29">
        <f ca="1">IF(OR(D5="",E5="",F5="",G5="",I5="",TODAY()&lt;E5,TODAY()&gt;F5),0,IF(I5=0,D5*G5/365,L5-D5*(1+G5/I5)^(I5*MAX(MIN(TODAY()-E5-1,J5),0)/365)))</f>
        <v>0</v>
      </c>
      <c r="O5" s="7" t="str">
        <f ca="1">IF(A5="","",IF(OR(D5="",E5="",F5="",G5="",H5=""),"Details Required",IF(TODAY()&lt;E5,"Upcoming",IF(TODAY()&gt;=F5,"Matured","Active"))))</f>
        <v>Details Required</v>
      </c>
    </row>
    <row r="6" spans="1:15" ht="13" x14ac:dyDescent="0.3">
      <c r="A6" s="30" t="s">
        <v>10</v>
      </c>
      <c r="B6" s="30"/>
      <c r="C6" s="30"/>
      <c r="D6" s="31"/>
      <c r="E6" s="32"/>
      <c r="F6" s="32"/>
      <c r="G6" s="34"/>
      <c r="H6" s="30"/>
      <c r="I6" s="26" t="str">
        <f>IF(H6="","",IF(H6="Simple",0,IF(H6="Monthly",12,IF(H6="Quarterly",4,IF(H6="Half-yearly",2,IF(H6="Annually",1,""))))))</f>
        <v/>
      </c>
      <c r="J6" s="26" t="str">
        <f>IF(OR(E6="",F6=""),"",MAX(0,F6-E6))</f>
        <v/>
      </c>
      <c r="K6" s="29" t="str">
        <f>IF(OR(D6="",G6="",J6="",I6=""),"",IF(I6=0,D6*(1+G6*J6/365),D6*(1+G6/I6)^(I6*J6/365)))</f>
        <v/>
      </c>
      <c r="L6" s="29" t="str">
        <f ca="1">IF(OR(D6="",E6="",J6="",G6="",I6=""),"",IF(I6=0,D6*(1+G6*MIN(MAX(TODAY()-E6,0),J6)/365),D6*(1+G6/I6)^(I6*MIN(MAX(TODAY()-E6,0),J6)/365)))</f>
        <v/>
      </c>
      <c r="M6" s="29" t="str">
        <f ca="1">IF(L6="","",L6-D6)</f>
        <v/>
      </c>
      <c r="N6" s="29">
        <f ca="1">IF(OR(D6="",E6="",F6="",G6="",I6="",TODAY()&lt;E6,TODAY()&gt;F6),0,IF(I6=0,D6*G6/365,L6-D6*(1+G6/I6)^(I6*MAX(MIN(TODAY()-E6-1,J6),0)/365)))</f>
        <v>0</v>
      </c>
      <c r="O6" s="7" t="str">
        <f ca="1">IF(A6="","",IF(OR(D6="",E6="",F6="",G6="",H6=""),"Details Required",IF(TODAY()&lt;E6,"Upcoming",IF(TODAY()&gt;=F6,"Matured","Active"))))</f>
        <v>Details Required</v>
      </c>
    </row>
    <row r="7" spans="1:15" x14ac:dyDescent="0.25">
      <c r="D7" s="5"/>
      <c r="E7" s="33"/>
      <c r="F7" s="33"/>
      <c r="G7" s="35"/>
      <c r="I7" s="4"/>
      <c r="J7" s="4"/>
      <c r="K7" s="5"/>
      <c r="L7" s="5"/>
      <c r="M7" s="5"/>
      <c r="N7" s="5"/>
    </row>
    <row r="8" spans="1:15" x14ac:dyDescent="0.25">
      <c r="D8" s="5"/>
      <c r="E8" s="33"/>
      <c r="F8" s="33"/>
      <c r="G8" s="35"/>
      <c r="I8" s="4"/>
      <c r="J8" s="4"/>
      <c r="K8" s="5"/>
      <c r="L8" s="5"/>
      <c r="M8" s="5"/>
      <c r="N8" s="5"/>
    </row>
    <row r="9" spans="1:15" x14ac:dyDescent="0.25">
      <c r="D9" s="5"/>
      <c r="E9" s="33"/>
      <c r="F9" s="33"/>
      <c r="G9" s="35"/>
      <c r="I9" s="4"/>
      <c r="J9" s="4"/>
      <c r="K9" s="5"/>
      <c r="L9" s="5"/>
      <c r="M9" s="5"/>
      <c r="N9" s="5"/>
    </row>
    <row r="10" spans="1:15" x14ac:dyDescent="0.25">
      <c r="D10" s="5"/>
      <c r="E10" s="33"/>
      <c r="F10" s="33"/>
      <c r="G10" s="35"/>
      <c r="I10" s="4"/>
      <c r="J10" s="4"/>
      <c r="K10" s="5"/>
      <c r="L10" s="5"/>
      <c r="M10" s="5"/>
      <c r="N10" s="5"/>
    </row>
    <row r="11" spans="1:15" x14ac:dyDescent="0.25">
      <c r="D11" s="5"/>
      <c r="E11" s="33"/>
      <c r="F11" s="33"/>
      <c r="G11" s="35"/>
      <c r="I11" s="4"/>
      <c r="J11" s="4"/>
      <c r="K11" s="5"/>
      <c r="L11" s="5"/>
      <c r="M11" s="5"/>
      <c r="N11" s="5"/>
    </row>
    <row r="12" spans="1:15" x14ac:dyDescent="0.25">
      <c r="D12" s="5"/>
      <c r="E12" s="33"/>
      <c r="F12" s="33"/>
      <c r="G12" s="35"/>
      <c r="I12" s="4"/>
      <c r="J12" s="4"/>
      <c r="K12" s="5"/>
      <c r="L12" s="5"/>
      <c r="M12" s="5"/>
      <c r="N12" s="5"/>
    </row>
    <row r="13" spans="1:15" x14ac:dyDescent="0.25">
      <c r="D13" s="5"/>
      <c r="E13" s="33"/>
      <c r="F13" s="33"/>
      <c r="G13" s="35"/>
      <c r="I13" s="4"/>
      <c r="J13" s="4"/>
      <c r="K13" s="5"/>
      <c r="L13" s="5"/>
      <c r="M13" s="5"/>
      <c r="N13" s="5"/>
    </row>
    <row r="14" spans="1:15" x14ac:dyDescent="0.25">
      <c r="D14" s="5"/>
      <c r="E14" s="33"/>
      <c r="F14" s="33"/>
      <c r="G14" s="35"/>
      <c r="I14" s="4"/>
      <c r="J14" s="4"/>
      <c r="K14" s="5"/>
      <c r="L14" s="5"/>
      <c r="M14" s="5"/>
      <c r="N14" s="5"/>
    </row>
    <row r="15" spans="1:15" x14ac:dyDescent="0.25">
      <c r="D15" s="5"/>
      <c r="E15" s="33"/>
      <c r="F15" s="33"/>
      <c r="G15" s="35"/>
      <c r="I15" s="4"/>
      <c r="J15" s="4"/>
      <c r="K15" s="5"/>
      <c r="L15" s="5"/>
      <c r="M15" s="5"/>
      <c r="N15" s="5"/>
    </row>
    <row r="16" spans="1:15" x14ac:dyDescent="0.25">
      <c r="D16" s="5"/>
      <c r="E16" s="33"/>
      <c r="F16" s="33"/>
      <c r="G16" s="35"/>
      <c r="I16" s="4"/>
      <c r="J16" s="4"/>
      <c r="K16" s="5"/>
      <c r="L16" s="5"/>
      <c r="M16" s="5"/>
      <c r="N16" s="5"/>
    </row>
    <row r="17" spans="4:14" x14ac:dyDescent="0.25">
      <c r="D17" s="5"/>
      <c r="E17" s="33"/>
      <c r="F17" s="33"/>
      <c r="G17" s="35"/>
      <c r="I17" s="4"/>
      <c r="J17" s="4"/>
      <c r="K17" s="5"/>
      <c r="L17" s="5"/>
      <c r="M17" s="5"/>
      <c r="N17" s="5"/>
    </row>
    <row r="18" spans="4:14" x14ac:dyDescent="0.25">
      <c r="D18" s="5"/>
      <c r="E18" s="33"/>
      <c r="F18" s="33"/>
      <c r="G18" s="35"/>
      <c r="I18" s="4"/>
      <c r="J18" s="4"/>
      <c r="K18" s="5"/>
      <c r="L18" s="5"/>
      <c r="M18" s="5"/>
      <c r="N18" s="5"/>
    </row>
    <row r="19" spans="4:14" x14ac:dyDescent="0.25">
      <c r="D19" s="5"/>
      <c r="E19" s="33"/>
      <c r="F19" s="33"/>
      <c r="G19" s="35"/>
      <c r="I19" s="4"/>
      <c r="J19" s="4"/>
      <c r="K19" s="5"/>
      <c r="L19" s="5"/>
      <c r="M19" s="5"/>
      <c r="N19" s="5"/>
    </row>
    <row r="20" spans="4:14" x14ac:dyDescent="0.25">
      <c r="D20" s="5"/>
      <c r="E20" s="33"/>
      <c r="F20" s="33"/>
      <c r="G20" s="35"/>
      <c r="I20" s="4"/>
      <c r="J20" s="4"/>
      <c r="K20" s="5"/>
      <c r="L20" s="5"/>
      <c r="M20" s="5"/>
      <c r="N20" s="5"/>
    </row>
    <row r="21" spans="4:14" x14ac:dyDescent="0.25">
      <c r="D21" s="5"/>
      <c r="E21" s="33"/>
      <c r="F21" s="33"/>
      <c r="G21" s="35"/>
      <c r="I21" s="4"/>
      <c r="J21" s="4"/>
      <c r="K21" s="5"/>
      <c r="L21" s="5"/>
      <c r="M21" s="5"/>
      <c r="N21" s="5"/>
    </row>
    <row r="22" spans="4:14" x14ac:dyDescent="0.25">
      <c r="D22" s="5"/>
      <c r="E22" s="33"/>
      <c r="F22" s="33"/>
      <c r="G22" s="35"/>
      <c r="I22" s="4"/>
      <c r="J22" s="4"/>
      <c r="K22" s="5"/>
      <c r="L22" s="5"/>
      <c r="M22" s="5"/>
      <c r="N22" s="5"/>
    </row>
    <row r="23" spans="4:14" x14ac:dyDescent="0.25">
      <c r="D23" s="5"/>
      <c r="E23" s="33"/>
      <c r="F23" s="33"/>
      <c r="G23" s="35"/>
      <c r="I23" s="4"/>
      <c r="J23" s="4"/>
      <c r="K23" s="5"/>
      <c r="L23" s="5"/>
      <c r="M23" s="5"/>
      <c r="N23" s="5"/>
    </row>
    <row r="24" spans="4:14" x14ac:dyDescent="0.25">
      <c r="D24" s="5"/>
      <c r="E24" s="33"/>
      <c r="F24" s="33"/>
      <c r="G24" s="35"/>
      <c r="I24" s="4"/>
      <c r="J24" s="4"/>
      <c r="K24" s="5"/>
      <c r="L24" s="5"/>
      <c r="M24" s="5"/>
      <c r="N24" s="5"/>
    </row>
    <row r="25" spans="4:14" x14ac:dyDescent="0.25">
      <c r="D25" s="5"/>
      <c r="E25" s="33"/>
      <c r="F25" s="33"/>
      <c r="G25" s="35"/>
      <c r="I25" s="4"/>
      <c r="J25" s="4"/>
      <c r="K25" s="5"/>
      <c r="L25" s="5"/>
      <c r="M25" s="5"/>
      <c r="N25" s="5"/>
    </row>
    <row r="26" spans="4:14" x14ac:dyDescent="0.25">
      <c r="D26" s="5"/>
      <c r="E26" s="33"/>
      <c r="F26" s="33"/>
      <c r="G26" s="35"/>
      <c r="I26" s="4"/>
      <c r="J26" s="4"/>
      <c r="K26" s="5"/>
      <c r="L26" s="5"/>
      <c r="M26" s="5"/>
      <c r="N26" s="5"/>
    </row>
    <row r="27" spans="4:14" x14ac:dyDescent="0.25">
      <c r="D27" s="5"/>
      <c r="E27" s="33"/>
      <c r="F27" s="33"/>
      <c r="G27" s="35"/>
      <c r="I27" s="4"/>
      <c r="J27" s="4"/>
      <c r="K27" s="5"/>
      <c r="L27" s="5"/>
      <c r="M27" s="5"/>
      <c r="N27" s="5"/>
    </row>
    <row r="28" spans="4:14" x14ac:dyDescent="0.25">
      <c r="D28" s="5"/>
      <c r="E28" s="33"/>
      <c r="F28" s="33"/>
      <c r="G28" s="35"/>
      <c r="I28" s="4"/>
      <c r="J28" s="4"/>
      <c r="K28" s="5"/>
      <c r="L28" s="5"/>
      <c r="M28" s="5"/>
      <c r="N28" s="5"/>
    </row>
    <row r="29" spans="4:14" x14ac:dyDescent="0.25">
      <c r="D29" s="5"/>
      <c r="E29" s="33"/>
      <c r="F29" s="33"/>
      <c r="G29" s="35"/>
      <c r="I29" s="4"/>
      <c r="J29" s="4"/>
      <c r="K29" s="5"/>
      <c r="L29" s="5"/>
      <c r="M29" s="5"/>
      <c r="N29" s="5"/>
    </row>
    <row r="30" spans="4:14" x14ac:dyDescent="0.25">
      <c r="D30" s="5"/>
      <c r="E30" s="33"/>
      <c r="F30" s="33"/>
      <c r="G30" s="35"/>
      <c r="I30" s="4"/>
      <c r="J30" s="4"/>
      <c r="K30" s="5"/>
      <c r="L30" s="5"/>
      <c r="M30" s="5"/>
      <c r="N30" s="5"/>
    </row>
    <row r="31" spans="4:14" x14ac:dyDescent="0.25">
      <c r="D31" s="5"/>
      <c r="E31" s="33"/>
      <c r="F31" s="33"/>
      <c r="G31" s="35"/>
      <c r="I31" s="4"/>
      <c r="J31" s="4"/>
      <c r="K31" s="5"/>
      <c r="L31" s="5"/>
      <c r="M31" s="5"/>
      <c r="N31" s="5"/>
    </row>
    <row r="32" spans="4:14" x14ac:dyDescent="0.25">
      <c r="D32" s="5"/>
      <c r="E32" s="33"/>
      <c r="F32" s="33"/>
      <c r="G32" s="35"/>
      <c r="I32" s="4"/>
      <c r="J32" s="4"/>
      <c r="K32" s="5"/>
      <c r="L32" s="5"/>
      <c r="M32" s="5"/>
      <c r="N32" s="5"/>
    </row>
    <row r="33" spans="4:14" x14ac:dyDescent="0.25">
      <c r="D33" s="5"/>
      <c r="E33" s="33"/>
      <c r="F33" s="33"/>
      <c r="G33" s="35"/>
      <c r="I33" s="4"/>
      <c r="J33" s="4"/>
      <c r="K33" s="5"/>
      <c r="L33" s="5"/>
      <c r="M33" s="5"/>
      <c r="N33" s="5"/>
    </row>
    <row r="34" spans="4:14" x14ac:dyDescent="0.25">
      <c r="D34" s="5"/>
      <c r="E34" s="33"/>
      <c r="F34" s="33"/>
      <c r="G34" s="35"/>
      <c r="I34" s="4"/>
      <c r="J34" s="4"/>
      <c r="K34" s="5"/>
      <c r="L34" s="5"/>
      <c r="M34" s="5"/>
      <c r="N34" s="5"/>
    </row>
    <row r="35" spans="4:14" x14ac:dyDescent="0.25">
      <c r="D35" s="5"/>
      <c r="E35" s="33"/>
      <c r="F35" s="33"/>
      <c r="G35" s="35"/>
      <c r="I35" s="4"/>
      <c r="J35" s="4"/>
      <c r="K35" s="5"/>
      <c r="L35" s="5"/>
      <c r="M35" s="5"/>
      <c r="N35" s="5"/>
    </row>
    <row r="36" spans="4:14" x14ac:dyDescent="0.25">
      <c r="D36" s="5"/>
      <c r="E36" s="33"/>
      <c r="F36" s="33"/>
      <c r="G36" s="35"/>
      <c r="I36" s="4"/>
      <c r="J36" s="4"/>
      <c r="K36" s="5"/>
      <c r="L36" s="5"/>
      <c r="M36" s="5"/>
      <c r="N36" s="5"/>
    </row>
    <row r="37" spans="4:14" x14ac:dyDescent="0.25">
      <c r="D37" s="5"/>
      <c r="E37" s="33"/>
      <c r="F37" s="33"/>
      <c r="G37" s="35"/>
      <c r="I37" s="4"/>
      <c r="J37" s="4"/>
      <c r="K37" s="5"/>
      <c r="L37" s="5"/>
      <c r="M37" s="5"/>
      <c r="N37" s="5"/>
    </row>
    <row r="38" spans="4:14" x14ac:dyDescent="0.25">
      <c r="D38" s="5"/>
      <c r="E38" s="33"/>
      <c r="F38" s="33"/>
      <c r="G38" s="35"/>
      <c r="I38" s="4"/>
      <c r="J38" s="4"/>
      <c r="K38" s="5"/>
      <c r="L38" s="5"/>
      <c r="M38" s="5"/>
      <c r="N38" s="5"/>
    </row>
    <row r="39" spans="4:14" x14ac:dyDescent="0.25">
      <c r="D39" s="5"/>
      <c r="E39" s="33"/>
      <c r="F39" s="33"/>
      <c r="G39" s="35"/>
      <c r="I39" s="4"/>
      <c r="J39" s="4"/>
      <c r="K39" s="5"/>
      <c r="L39" s="5"/>
      <c r="M39" s="5"/>
      <c r="N39" s="5"/>
    </row>
    <row r="40" spans="4:14" x14ac:dyDescent="0.25">
      <c r="D40" s="5"/>
      <c r="E40" s="33"/>
      <c r="F40" s="33"/>
      <c r="G40" s="35"/>
      <c r="I40" s="4"/>
      <c r="J40" s="4"/>
      <c r="K40" s="5"/>
      <c r="L40" s="5"/>
      <c r="M40" s="5"/>
      <c r="N40" s="5"/>
    </row>
    <row r="41" spans="4:14" x14ac:dyDescent="0.25">
      <c r="D41" s="5"/>
      <c r="E41" s="33"/>
      <c r="F41" s="33"/>
      <c r="G41" s="35"/>
      <c r="I41" s="4"/>
      <c r="J41" s="4"/>
      <c r="K41" s="5"/>
      <c r="L41" s="5"/>
      <c r="M41" s="5"/>
      <c r="N41" s="5"/>
    </row>
    <row r="42" spans="4:14" x14ac:dyDescent="0.25">
      <c r="D42" s="5"/>
      <c r="E42" s="33"/>
      <c r="F42" s="33"/>
      <c r="G42" s="35"/>
      <c r="I42" s="4"/>
      <c r="J42" s="4"/>
      <c r="K42" s="5"/>
      <c r="L42" s="5"/>
      <c r="M42" s="5"/>
      <c r="N42" s="5"/>
    </row>
    <row r="43" spans="4:14" x14ac:dyDescent="0.25">
      <c r="D43" s="5"/>
      <c r="E43" s="33"/>
      <c r="F43" s="33"/>
      <c r="G43" s="35"/>
      <c r="I43" s="4"/>
      <c r="J43" s="4"/>
      <c r="K43" s="5"/>
      <c r="L43" s="5"/>
      <c r="M43" s="5"/>
      <c r="N43" s="5"/>
    </row>
    <row r="44" spans="4:14" x14ac:dyDescent="0.25">
      <c r="D44" s="5"/>
      <c r="E44" s="33"/>
      <c r="F44" s="33"/>
      <c r="G44" s="35"/>
      <c r="I44" s="4"/>
      <c r="J44" s="4"/>
      <c r="K44" s="5"/>
      <c r="L44" s="5"/>
      <c r="M44" s="5"/>
      <c r="N44" s="5"/>
    </row>
    <row r="45" spans="4:14" x14ac:dyDescent="0.25">
      <c r="D45" s="5"/>
      <c r="E45" s="33"/>
      <c r="F45" s="33"/>
      <c r="G45" s="35"/>
      <c r="I45" s="4"/>
      <c r="J45" s="4"/>
      <c r="K45" s="5"/>
      <c r="L45" s="5"/>
      <c r="M45" s="5"/>
      <c r="N45" s="5"/>
    </row>
    <row r="46" spans="4:14" x14ac:dyDescent="0.25">
      <c r="D46" s="5"/>
      <c r="E46" s="33"/>
      <c r="F46" s="33"/>
      <c r="G46" s="35"/>
      <c r="I46" s="4"/>
      <c r="J46" s="4"/>
      <c r="K46" s="5"/>
      <c r="L46" s="5"/>
      <c r="M46" s="5"/>
      <c r="N46" s="5"/>
    </row>
    <row r="47" spans="4:14" x14ac:dyDescent="0.25">
      <c r="D47" s="5"/>
      <c r="E47" s="33"/>
      <c r="F47" s="33"/>
      <c r="G47" s="35"/>
      <c r="I47" s="4"/>
      <c r="J47" s="4"/>
      <c r="K47" s="5"/>
      <c r="L47" s="5"/>
      <c r="M47" s="5"/>
      <c r="N47" s="5"/>
    </row>
    <row r="48" spans="4:14" x14ac:dyDescent="0.25">
      <c r="D48" s="5"/>
      <c r="E48" s="33"/>
      <c r="F48" s="33"/>
      <c r="G48" s="35"/>
      <c r="I48" s="4"/>
      <c r="J48" s="4"/>
      <c r="K48" s="5"/>
      <c r="L48" s="5"/>
      <c r="M48" s="5"/>
      <c r="N48" s="5"/>
    </row>
    <row r="49" spans="4:14" x14ac:dyDescent="0.25">
      <c r="D49" s="5"/>
      <c r="E49" s="33"/>
      <c r="F49" s="33"/>
      <c r="G49" s="35"/>
      <c r="I49" s="4"/>
      <c r="J49" s="4"/>
      <c r="K49" s="5"/>
      <c r="L49" s="5"/>
      <c r="M49" s="5"/>
      <c r="N49" s="5"/>
    </row>
    <row r="50" spans="4:14" x14ac:dyDescent="0.25">
      <c r="D50" s="5"/>
      <c r="E50" s="33"/>
      <c r="F50" s="33"/>
      <c r="G50" s="35"/>
      <c r="I50" s="4"/>
      <c r="J50" s="4"/>
      <c r="K50" s="5"/>
      <c r="L50" s="5"/>
      <c r="M50" s="5"/>
      <c r="N50" s="5"/>
    </row>
    <row r="51" spans="4:14" x14ac:dyDescent="0.25">
      <c r="D51" s="5"/>
      <c r="E51" s="33"/>
      <c r="F51" s="33"/>
      <c r="G51" s="35"/>
      <c r="I51" s="4"/>
      <c r="J51" s="4"/>
      <c r="K51" s="5"/>
      <c r="L51" s="5"/>
      <c r="M51" s="5"/>
      <c r="N51" s="5"/>
    </row>
    <row r="52" spans="4:14" x14ac:dyDescent="0.25">
      <c r="D52" s="5"/>
      <c r="E52" s="33"/>
      <c r="F52" s="33"/>
      <c r="G52" s="35"/>
      <c r="I52" s="4"/>
      <c r="J52" s="4"/>
      <c r="K52" s="5"/>
      <c r="L52" s="5"/>
      <c r="M52" s="5"/>
      <c r="N52" s="5"/>
    </row>
    <row r="53" spans="4:14" x14ac:dyDescent="0.25">
      <c r="D53" s="5"/>
      <c r="E53" s="33"/>
      <c r="F53" s="33"/>
      <c r="G53" s="35"/>
      <c r="I53" s="4"/>
      <c r="J53" s="4"/>
      <c r="K53" s="5"/>
      <c r="L53" s="5"/>
      <c r="M53" s="5"/>
      <c r="N53" s="5"/>
    </row>
    <row r="54" spans="4:14" x14ac:dyDescent="0.25">
      <c r="D54" s="5"/>
      <c r="E54" s="33"/>
      <c r="F54" s="33"/>
      <c r="G54" s="35"/>
      <c r="I54" s="4"/>
      <c r="J54" s="4"/>
      <c r="K54" s="5"/>
      <c r="L54" s="5"/>
      <c r="M54" s="5"/>
      <c r="N54" s="5"/>
    </row>
    <row r="55" spans="4:14" x14ac:dyDescent="0.25">
      <c r="D55" s="5"/>
      <c r="E55" s="33"/>
      <c r="F55" s="33"/>
      <c r="G55" s="35"/>
      <c r="I55" s="4"/>
      <c r="J55" s="4"/>
      <c r="K55" s="5"/>
      <c r="L55" s="5"/>
      <c r="M55" s="5"/>
      <c r="N55" s="5"/>
    </row>
    <row r="56" spans="4:14" x14ac:dyDescent="0.25">
      <c r="D56" s="5"/>
      <c r="E56" s="33"/>
      <c r="F56" s="33"/>
      <c r="G56" s="35"/>
      <c r="I56" s="4"/>
      <c r="J56" s="4"/>
      <c r="K56" s="5"/>
      <c r="L56" s="5"/>
      <c r="M56" s="5"/>
      <c r="N56" s="5"/>
    </row>
    <row r="57" spans="4:14" x14ac:dyDescent="0.25">
      <c r="D57" s="5"/>
      <c r="E57" s="33"/>
      <c r="F57" s="33"/>
      <c r="G57" s="35"/>
      <c r="I57" s="4"/>
      <c r="J57" s="4"/>
      <c r="K57" s="5"/>
      <c r="L57" s="5"/>
      <c r="M57" s="5"/>
      <c r="N57" s="5"/>
    </row>
    <row r="58" spans="4:14" x14ac:dyDescent="0.25">
      <c r="D58" s="5"/>
      <c r="E58" s="33"/>
      <c r="F58" s="33"/>
      <c r="G58" s="35"/>
      <c r="I58" s="4"/>
      <c r="J58" s="4"/>
      <c r="K58" s="5"/>
      <c r="L58" s="5"/>
      <c r="M58" s="5"/>
      <c r="N58" s="5"/>
    </row>
    <row r="59" spans="4:14" x14ac:dyDescent="0.25">
      <c r="D59" s="5"/>
      <c r="E59" s="33"/>
      <c r="F59" s="33"/>
      <c r="G59" s="35"/>
      <c r="I59" s="4"/>
      <c r="J59" s="4"/>
      <c r="K59" s="5"/>
      <c r="L59" s="5"/>
      <c r="M59" s="5"/>
      <c r="N59" s="5"/>
    </row>
    <row r="60" spans="4:14" x14ac:dyDescent="0.25">
      <c r="D60" s="5"/>
      <c r="E60" s="33"/>
      <c r="F60" s="33"/>
      <c r="G60" s="35"/>
      <c r="I60" s="4"/>
      <c r="J60" s="4"/>
      <c r="K60" s="5"/>
      <c r="L60" s="5"/>
      <c r="M60" s="5"/>
      <c r="N60" s="5"/>
    </row>
    <row r="61" spans="4:14" x14ac:dyDescent="0.25">
      <c r="D61" s="5"/>
      <c r="E61" s="33"/>
      <c r="F61" s="33"/>
      <c r="G61" s="35"/>
      <c r="I61" s="4"/>
      <c r="J61" s="4"/>
      <c r="K61" s="5"/>
      <c r="L61" s="5"/>
      <c r="M61" s="5"/>
      <c r="N61" s="5"/>
    </row>
    <row r="62" spans="4:14" x14ac:dyDescent="0.25">
      <c r="D62" s="5"/>
      <c r="E62" s="33"/>
      <c r="F62" s="33"/>
      <c r="G62" s="35"/>
      <c r="I62" s="4"/>
      <c r="J62" s="4"/>
      <c r="K62" s="5"/>
      <c r="L62" s="5"/>
      <c r="M62" s="5"/>
      <c r="N62" s="5"/>
    </row>
    <row r="63" spans="4:14" x14ac:dyDescent="0.25">
      <c r="D63" s="5"/>
      <c r="E63" s="33"/>
      <c r="F63" s="33"/>
      <c r="G63" s="35"/>
      <c r="I63" s="4"/>
      <c r="J63" s="4"/>
      <c r="K63" s="5"/>
      <c r="L63" s="5"/>
      <c r="M63" s="5"/>
      <c r="N63" s="5"/>
    </row>
    <row r="64" spans="4:14" x14ac:dyDescent="0.25">
      <c r="D64" s="5"/>
      <c r="E64" s="33"/>
      <c r="F64" s="33"/>
      <c r="G64" s="35"/>
      <c r="I64" s="4"/>
      <c r="J64" s="4"/>
      <c r="K64" s="5"/>
      <c r="L64" s="5"/>
      <c r="M64" s="5"/>
      <c r="N64" s="5"/>
    </row>
    <row r="65" spans="4:14" x14ac:dyDescent="0.25">
      <c r="D65" s="5"/>
      <c r="E65" s="33"/>
      <c r="F65" s="33"/>
      <c r="G65" s="35"/>
      <c r="I65" s="4"/>
      <c r="J65" s="4"/>
      <c r="K65" s="5"/>
      <c r="L65" s="5"/>
      <c r="M65" s="5"/>
      <c r="N65" s="5"/>
    </row>
    <row r="66" spans="4:14" x14ac:dyDescent="0.25">
      <c r="D66" s="5"/>
      <c r="E66" s="33"/>
      <c r="F66" s="33"/>
      <c r="G66" s="35"/>
      <c r="I66" s="4"/>
      <c r="J66" s="4"/>
      <c r="K66" s="5"/>
      <c r="L66" s="5"/>
      <c r="M66" s="5"/>
      <c r="N66" s="5"/>
    </row>
    <row r="67" spans="4:14" x14ac:dyDescent="0.25">
      <c r="D67" s="5"/>
      <c r="E67" s="33"/>
      <c r="F67" s="33"/>
      <c r="G67" s="35"/>
      <c r="I67" s="4"/>
      <c r="J67" s="4"/>
      <c r="K67" s="5"/>
      <c r="L67" s="5"/>
      <c r="M67" s="5"/>
      <c r="N67" s="5"/>
    </row>
    <row r="68" spans="4:14" x14ac:dyDescent="0.25">
      <c r="D68" s="5"/>
      <c r="E68" s="33"/>
      <c r="F68" s="33"/>
      <c r="G68" s="35"/>
      <c r="I68" s="4"/>
      <c r="J68" s="4"/>
      <c r="K68" s="5"/>
      <c r="L68" s="5"/>
      <c r="M68" s="5"/>
      <c r="N68" s="5"/>
    </row>
    <row r="69" spans="4:14" x14ac:dyDescent="0.25">
      <c r="D69" s="5"/>
      <c r="E69" s="33"/>
      <c r="F69" s="33"/>
      <c r="G69" s="35"/>
      <c r="I69" s="4"/>
      <c r="J69" s="4"/>
      <c r="K69" s="5"/>
      <c r="L69" s="5"/>
      <c r="M69" s="5"/>
      <c r="N69" s="5"/>
    </row>
    <row r="70" spans="4:14" x14ac:dyDescent="0.25">
      <c r="D70" s="5"/>
      <c r="E70" s="33"/>
      <c r="F70" s="33"/>
      <c r="G70" s="35"/>
      <c r="I70" s="4"/>
      <c r="J70" s="4"/>
      <c r="K70" s="5"/>
      <c r="L70" s="5"/>
      <c r="M70" s="5"/>
      <c r="N70" s="5"/>
    </row>
    <row r="71" spans="4:14" x14ac:dyDescent="0.25">
      <c r="D71" s="5"/>
      <c r="E71" s="33"/>
      <c r="F71" s="33"/>
      <c r="G71" s="35"/>
      <c r="I71" s="4"/>
      <c r="J71" s="4"/>
      <c r="K71" s="5"/>
      <c r="L71" s="5"/>
      <c r="M71" s="5"/>
      <c r="N71" s="5"/>
    </row>
    <row r="72" spans="4:14" x14ac:dyDescent="0.25">
      <c r="D72" s="5"/>
      <c r="E72" s="33"/>
      <c r="F72" s="33"/>
      <c r="G72" s="35"/>
      <c r="I72" s="4"/>
      <c r="J72" s="4"/>
      <c r="K72" s="5"/>
      <c r="L72" s="5"/>
      <c r="M72" s="5"/>
      <c r="N72" s="5"/>
    </row>
    <row r="73" spans="4:14" x14ac:dyDescent="0.25">
      <c r="D73" s="5"/>
      <c r="E73" s="33"/>
      <c r="F73" s="33"/>
      <c r="G73" s="35"/>
      <c r="I73" s="4"/>
      <c r="J73" s="4"/>
      <c r="K73" s="5"/>
      <c r="L73" s="5"/>
      <c r="M73" s="5"/>
      <c r="N73" s="5"/>
    </row>
    <row r="74" spans="4:14" x14ac:dyDescent="0.25">
      <c r="D74" s="5"/>
      <c r="E74" s="33"/>
      <c r="F74" s="33"/>
      <c r="G74" s="35"/>
      <c r="I74" s="4"/>
      <c r="J74" s="4"/>
      <c r="K74" s="5"/>
      <c r="L74" s="5"/>
      <c r="M74" s="5"/>
      <c r="N74" s="5"/>
    </row>
    <row r="75" spans="4:14" x14ac:dyDescent="0.25">
      <c r="D75" s="5"/>
      <c r="E75" s="33"/>
      <c r="F75" s="33"/>
      <c r="G75" s="35"/>
      <c r="I75" s="4"/>
      <c r="J75" s="4"/>
      <c r="K75" s="5"/>
      <c r="L75" s="5"/>
      <c r="M75" s="5"/>
      <c r="N75" s="5"/>
    </row>
    <row r="76" spans="4:14" x14ac:dyDescent="0.25">
      <c r="D76" s="5"/>
      <c r="E76" s="33"/>
      <c r="F76" s="33"/>
      <c r="G76" s="35"/>
      <c r="I76" s="4"/>
      <c r="J76" s="4"/>
      <c r="K76" s="5"/>
      <c r="L76" s="5"/>
      <c r="M76" s="5"/>
      <c r="N76" s="5"/>
    </row>
    <row r="77" spans="4:14" x14ac:dyDescent="0.25">
      <c r="D77" s="5"/>
      <c r="E77" s="33"/>
      <c r="F77" s="33"/>
      <c r="G77" s="35"/>
      <c r="I77" s="4"/>
      <c r="J77" s="4"/>
      <c r="K77" s="5"/>
      <c r="L77" s="5"/>
      <c r="M77" s="5"/>
      <c r="N77" s="5"/>
    </row>
    <row r="78" spans="4:14" x14ac:dyDescent="0.25">
      <c r="D78" s="5"/>
      <c r="E78" s="33"/>
      <c r="F78" s="33"/>
      <c r="G78" s="35"/>
      <c r="I78" s="4"/>
      <c r="J78" s="4"/>
      <c r="K78" s="5"/>
      <c r="L78" s="5"/>
      <c r="M78" s="5"/>
      <c r="N78" s="5"/>
    </row>
    <row r="79" spans="4:14" x14ac:dyDescent="0.25">
      <c r="D79" s="5"/>
      <c r="E79" s="33"/>
      <c r="F79" s="33"/>
      <c r="G79" s="35"/>
      <c r="I79" s="4"/>
      <c r="J79" s="4"/>
      <c r="K79" s="5"/>
      <c r="L79" s="5"/>
      <c r="M79" s="5"/>
      <c r="N79" s="5"/>
    </row>
    <row r="80" spans="4:14" x14ac:dyDescent="0.25">
      <c r="D80" s="5"/>
      <c r="E80" s="33"/>
      <c r="F80" s="33"/>
      <c r="G80" s="35"/>
      <c r="I80" s="4"/>
      <c r="J80" s="4"/>
      <c r="K80" s="5"/>
      <c r="L80" s="5"/>
      <c r="M80" s="5"/>
      <c r="N80" s="5"/>
    </row>
    <row r="81" spans="4:14" x14ac:dyDescent="0.25">
      <c r="D81" s="5"/>
      <c r="E81" s="33"/>
      <c r="F81" s="33"/>
      <c r="G81" s="35"/>
      <c r="I81" s="4"/>
      <c r="J81" s="4"/>
      <c r="K81" s="5"/>
      <c r="L81" s="5"/>
      <c r="M81" s="5"/>
      <c r="N81" s="5"/>
    </row>
    <row r="82" spans="4:14" x14ac:dyDescent="0.25">
      <c r="D82" s="5"/>
      <c r="E82" s="33"/>
      <c r="F82" s="33"/>
      <c r="G82" s="35"/>
      <c r="I82" s="4"/>
      <c r="J82" s="4"/>
      <c r="K82" s="5"/>
      <c r="L82" s="5"/>
      <c r="M82" s="5"/>
      <c r="N82" s="5"/>
    </row>
    <row r="83" spans="4:14" x14ac:dyDescent="0.25">
      <c r="D83" s="5"/>
      <c r="E83" s="33"/>
      <c r="F83" s="33"/>
      <c r="G83" s="35"/>
      <c r="I83" s="4"/>
      <c r="J83" s="4"/>
      <c r="K83" s="5"/>
      <c r="L83" s="5"/>
      <c r="M83" s="5"/>
      <c r="N83" s="5"/>
    </row>
    <row r="84" spans="4:14" x14ac:dyDescent="0.25">
      <c r="D84" s="5"/>
      <c r="E84" s="33"/>
      <c r="F84" s="33"/>
      <c r="G84" s="35"/>
      <c r="I84" s="4"/>
      <c r="J84" s="4"/>
      <c r="K84" s="5"/>
      <c r="L84" s="5"/>
      <c r="M84" s="5"/>
      <c r="N84" s="5"/>
    </row>
    <row r="85" spans="4:14" x14ac:dyDescent="0.25">
      <c r="D85" s="5"/>
      <c r="E85" s="33"/>
      <c r="F85" s="33"/>
      <c r="G85" s="35"/>
      <c r="I85" s="4"/>
      <c r="J85" s="4"/>
      <c r="K85" s="5"/>
      <c r="L85" s="5"/>
      <c r="M85" s="5"/>
      <c r="N85" s="5"/>
    </row>
    <row r="86" spans="4:14" x14ac:dyDescent="0.25">
      <c r="D86" s="5"/>
      <c r="E86" s="33"/>
      <c r="F86" s="33"/>
      <c r="G86" s="35"/>
      <c r="I86" s="4"/>
      <c r="J86" s="4"/>
      <c r="K86" s="5"/>
      <c r="L86" s="5"/>
      <c r="M86" s="5"/>
      <c r="N86" s="5"/>
    </row>
    <row r="87" spans="4:14" x14ac:dyDescent="0.25">
      <c r="D87" s="5"/>
      <c r="E87" s="33"/>
      <c r="F87" s="33"/>
      <c r="G87" s="35"/>
      <c r="I87" s="4"/>
      <c r="J87" s="4"/>
      <c r="K87" s="5"/>
      <c r="L87" s="5"/>
      <c r="M87" s="5"/>
      <c r="N87" s="5"/>
    </row>
    <row r="88" spans="4:14" x14ac:dyDescent="0.25">
      <c r="D88" s="5"/>
      <c r="E88" s="33"/>
      <c r="F88" s="33"/>
      <c r="G88" s="35"/>
      <c r="I88" s="4"/>
      <c r="J88" s="4"/>
      <c r="K88" s="5"/>
      <c r="L88" s="5"/>
      <c r="M88" s="5"/>
      <c r="N88" s="5"/>
    </row>
    <row r="89" spans="4:14" x14ac:dyDescent="0.25">
      <c r="D89" s="5"/>
      <c r="E89" s="33"/>
      <c r="F89" s="33"/>
      <c r="G89" s="35"/>
      <c r="I89" s="4"/>
      <c r="J89" s="4"/>
      <c r="K89" s="5"/>
      <c r="L89" s="5"/>
      <c r="M89" s="5"/>
      <c r="N89" s="5"/>
    </row>
    <row r="90" spans="4:14" x14ac:dyDescent="0.25">
      <c r="D90" s="5"/>
      <c r="E90" s="33"/>
      <c r="F90" s="33"/>
      <c r="G90" s="35"/>
      <c r="I90" s="4"/>
      <c r="J90" s="4"/>
      <c r="K90" s="5"/>
      <c r="L90" s="5"/>
      <c r="M90" s="5"/>
      <c r="N90" s="5"/>
    </row>
    <row r="91" spans="4:14" x14ac:dyDescent="0.25">
      <c r="D91" s="5"/>
      <c r="E91" s="33"/>
      <c r="F91" s="33"/>
      <c r="G91" s="35"/>
      <c r="I91" s="4"/>
      <c r="J91" s="4"/>
      <c r="K91" s="5"/>
      <c r="L91" s="5"/>
      <c r="M91" s="5"/>
      <c r="N91" s="5"/>
    </row>
    <row r="92" spans="4:14" x14ac:dyDescent="0.25">
      <c r="D92" s="5"/>
      <c r="E92" s="33"/>
      <c r="F92" s="33"/>
      <c r="G92" s="35"/>
      <c r="I92" s="4"/>
      <c r="J92" s="4"/>
      <c r="K92" s="5"/>
      <c r="L92" s="5"/>
      <c r="M92" s="5"/>
      <c r="N92" s="5"/>
    </row>
    <row r="93" spans="4:14" x14ac:dyDescent="0.25">
      <c r="D93" s="5"/>
      <c r="E93" s="33"/>
      <c r="F93" s="33"/>
      <c r="G93" s="35"/>
      <c r="I93" s="4"/>
      <c r="J93" s="4"/>
      <c r="K93" s="5"/>
      <c r="L93" s="5"/>
      <c r="M93" s="5"/>
      <c r="N93" s="5"/>
    </row>
    <row r="94" spans="4:14" x14ac:dyDescent="0.25">
      <c r="D94" s="5"/>
      <c r="E94" s="33"/>
      <c r="F94" s="33"/>
      <c r="G94" s="35"/>
      <c r="I94" s="4"/>
      <c r="J94" s="4"/>
      <c r="K94" s="5"/>
      <c r="L94" s="5"/>
      <c r="M94" s="5"/>
      <c r="N94" s="5"/>
    </row>
    <row r="95" spans="4:14" x14ac:dyDescent="0.25">
      <c r="D95" s="5"/>
      <c r="E95" s="33"/>
      <c r="F95" s="33"/>
      <c r="G95" s="35"/>
      <c r="I95" s="4"/>
      <c r="J95" s="4"/>
      <c r="K95" s="5"/>
      <c r="L95" s="5"/>
      <c r="M95" s="5"/>
      <c r="N95" s="5"/>
    </row>
    <row r="96" spans="4:14" x14ac:dyDescent="0.25">
      <c r="D96" s="5"/>
      <c r="E96" s="33"/>
      <c r="F96" s="33"/>
      <c r="G96" s="35"/>
      <c r="I96" s="4"/>
      <c r="J96" s="4"/>
      <c r="K96" s="5"/>
      <c r="L96" s="5"/>
      <c r="M96" s="5"/>
      <c r="N96" s="5"/>
    </row>
    <row r="97" spans="4:14" x14ac:dyDescent="0.25">
      <c r="D97" s="5"/>
      <c r="E97" s="33"/>
      <c r="F97" s="33"/>
      <c r="G97" s="35"/>
      <c r="I97" s="4"/>
      <c r="J97" s="4"/>
      <c r="K97" s="5"/>
      <c r="L97" s="5"/>
      <c r="M97" s="5"/>
      <c r="N97" s="5"/>
    </row>
    <row r="98" spans="4:14" x14ac:dyDescent="0.25">
      <c r="D98" s="5"/>
      <c r="E98" s="33"/>
      <c r="F98" s="33"/>
      <c r="G98" s="35"/>
      <c r="I98" s="4"/>
      <c r="J98" s="4"/>
      <c r="K98" s="5"/>
      <c r="L98" s="5"/>
      <c r="M98" s="5"/>
      <c r="N98" s="5"/>
    </row>
    <row r="99" spans="4:14" x14ac:dyDescent="0.25">
      <c r="D99" s="5"/>
      <c r="E99" s="33"/>
      <c r="F99" s="33"/>
      <c r="G99" s="35"/>
      <c r="I99" s="4"/>
      <c r="J99" s="4"/>
      <c r="K99" s="5"/>
      <c r="L99" s="5"/>
      <c r="M99" s="5"/>
      <c r="N99" s="5"/>
    </row>
    <row r="100" spans="4:14" x14ac:dyDescent="0.25">
      <c r="D100" s="5"/>
      <c r="E100" s="33"/>
      <c r="F100" s="33"/>
      <c r="G100" s="35"/>
      <c r="I100" s="4"/>
      <c r="J100" s="4"/>
      <c r="K100" s="5"/>
      <c r="L100" s="5"/>
      <c r="M100" s="5"/>
      <c r="N100" s="5"/>
    </row>
    <row r="101" spans="4:14" x14ac:dyDescent="0.25">
      <c r="D101" s="5"/>
      <c r="E101" s="33"/>
      <c r="F101" s="33"/>
      <c r="G101" s="35"/>
      <c r="I101" s="4"/>
      <c r="J101" s="4"/>
      <c r="K101" s="5"/>
      <c r="L101" s="5"/>
      <c r="M101" s="5"/>
      <c r="N101" s="5"/>
    </row>
    <row r="102" spans="4:14" x14ac:dyDescent="0.25">
      <c r="D102" s="5"/>
      <c r="E102" s="33"/>
      <c r="F102" s="33"/>
      <c r="G102" s="35"/>
      <c r="I102" s="4"/>
      <c r="J102" s="4"/>
      <c r="K102" s="5"/>
      <c r="L102" s="5"/>
      <c r="M102" s="5"/>
      <c r="N102" s="5"/>
    </row>
    <row r="103" spans="4:14" x14ac:dyDescent="0.25">
      <c r="D103" s="5"/>
      <c r="E103" s="33"/>
      <c r="F103" s="33"/>
      <c r="G103" s="35"/>
      <c r="I103" s="4"/>
      <c r="J103" s="4"/>
      <c r="K103" s="5"/>
      <c r="L103" s="5"/>
      <c r="M103" s="5"/>
      <c r="N103" s="5"/>
    </row>
    <row r="104" spans="4:14" x14ac:dyDescent="0.25">
      <c r="D104" s="5"/>
      <c r="E104" s="33"/>
      <c r="F104" s="33"/>
      <c r="G104" s="35"/>
      <c r="I104" s="4"/>
      <c r="J104" s="4"/>
      <c r="K104" s="5"/>
      <c r="L104" s="5"/>
      <c r="M104" s="5"/>
      <c r="N104" s="5"/>
    </row>
    <row r="105" spans="4:14" x14ac:dyDescent="0.25">
      <c r="D105" s="5"/>
      <c r="E105" s="33"/>
      <c r="F105" s="33"/>
      <c r="G105" s="35"/>
      <c r="I105" s="4"/>
      <c r="J105" s="4"/>
      <c r="K105" s="5"/>
      <c r="L105" s="5"/>
      <c r="M105" s="5"/>
      <c r="N105" s="5"/>
    </row>
    <row r="106" spans="4:14" x14ac:dyDescent="0.25">
      <c r="D106" s="5"/>
      <c r="E106" s="33"/>
      <c r="F106" s="33"/>
      <c r="G106" s="35"/>
      <c r="I106" s="4"/>
      <c r="J106" s="4"/>
      <c r="K106" s="5"/>
      <c r="L106" s="5"/>
      <c r="M106" s="5"/>
      <c r="N106" s="5"/>
    </row>
    <row r="107" spans="4:14" x14ac:dyDescent="0.25">
      <c r="D107" s="5"/>
      <c r="E107" s="33"/>
      <c r="F107" s="33"/>
      <c r="G107" s="35"/>
      <c r="I107" s="4"/>
      <c r="J107" s="4"/>
      <c r="K107" s="5"/>
      <c r="L107" s="5"/>
      <c r="M107" s="5"/>
      <c r="N107" s="5"/>
    </row>
    <row r="108" spans="4:14" x14ac:dyDescent="0.25">
      <c r="D108" s="5"/>
      <c r="E108" s="33"/>
      <c r="F108" s="33"/>
      <c r="G108" s="35"/>
      <c r="I108" s="4"/>
      <c r="J108" s="4"/>
      <c r="K108" s="5"/>
      <c r="L108" s="5"/>
      <c r="M108" s="5"/>
      <c r="N108" s="5"/>
    </row>
    <row r="109" spans="4:14" x14ac:dyDescent="0.25">
      <c r="D109" s="5"/>
      <c r="E109" s="33"/>
      <c r="F109" s="33"/>
      <c r="G109" s="35"/>
      <c r="I109" s="4"/>
      <c r="J109" s="4"/>
      <c r="K109" s="5"/>
      <c r="L109" s="5"/>
      <c r="M109" s="5"/>
      <c r="N109" s="5"/>
    </row>
    <row r="110" spans="4:14" x14ac:dyDescent="0.25">
      <c r="D110" s="5"/>
      <c r="E110" s="33"/>
      <c r="F110" s="33"/>
      <c r="G110" s="35"/>
      <c r="I110" s="4"/>
      <c r="J110" s="4"/>
      <c r="K110" s="5"/>
      <c r="L110" s="5"/>
      <c r="M110" s="5"/>
      <c r="N110" s="5"/>
    </row>
    <row r="111" spans="4:14" x14ac:dyDescent="0.25">
      <c r="D111" s="5"/>
      <c r="E111" s="33"/>
      <c r="F111" s="33"/>
      <c r="G111" s="35"/>
      <c r="I111" s="4"/>
      <c r="J111" s="4"/>
      <c r="K111" s="5"/>
      <c r="L111" s="5"/>
      <c r="M111" s="5"/>
      <c r="N111" s="5"/>
    </row>
    <row r="112" spans="4:14" x14ac:dyDescent="0.25">
      <c r="D112" s="5"/>
      <c r="E112" s="33"/>
      <c r="F112" s="33"/>
      <c r="G112" s="35"/>
      <c r="I112" s="4"/>
      <c r="J112" s="4"/>
      <c r="K112" s="5"/>
      <c r="L112" s="5"/>
      <c r="M112" s="5"/>
      <c r="N112" s="5"/>
    </row>
    <row r="113" spans="4:14" x14ac:dyDescent="0.25">
      <c r="D113" s="5"/>
      <c r="E113" s="33"/>
      <c r="F113" s="33"/>
      <c r="G113" s="35"/>
      <c r="I113" s="4"/>
      <c r="J113" s="4"/>
      <c r="K113" s="5"/>
      <c r="L113" s="5"/>
      <c r="M113" s="5"/>
      <c r="N113" s="5"/>
    </row>
    <row r="114" spans="4:14" x14ac:dyDescent="0.25">
      <c r="D114" s="5"/>
      <c r="E114" s="33"/>
      <c r="F114" s="33"/>
      <c r="G114" s="35"/>
      <c r="I114" s="4"/>
      <c r="J114" s="4"/>
      <c r="K114" s="5"/>
      <c r="L114" s="5"/>
      <c r="M114" s="5"/>
      <c r="N114" s="5"/>
    </row>
    <row r="115" spans="4:14" x14ac:dyDescent="0.25">
      <c r="D115" s="5"/>
      <c r="E115" s="33"/>
      <c r="F115" s="33"/>
      <c r="G115" s="35"/>
      <c r="I115" s="4"/>
      <c r="J115" s="4"/>
      <c r="K115" s="5"/>
      <c r="L115" s="5"/>
      <c r="M115" s="5"/>
      <c r="N115" s="5"/>
    </row>
    <row r="116" spans="4:14" x14ac:dyDescent="0.25">
      <c r="D116" s="5"/>
      <c r="E116" s="33"/>
      <c r="F116" s="33"/>
      <c r="G116" s="35"/>
      <c r="I116" s="4"/>
      <c r="J116" s="4"/>
      <c r="K116" s="5"/>
      <c r="L116" s="5"/>
      <c r="M116" s="5"/>
      <c r="N116" s="5"/>
    </row>
    <row r="117" spans="4:14" x14ac:dyDescent="0.25">
      <c r="D117" s="5"/>
      <c r="E117" s="33"/>
      <c r="F117" s="33"/>
      <c r="G117" s="35"/>
      <c r="I117" s="4"/>
      <c r="J117" s="4"/>
      <c r="K117" s="5"/>
      <c r="L117" s="5"/>
      <c r="M117" s="5"/>
      <c r="N117" s="5"/>
    </row>
    <row r="118" spans="4:14" x14ac:dyDescent="0.25">
      <c r="D118" s="5"/>
      <c r="E118" s="33"/>
      <c r="F118" s="33"/>
      <c r="G118" s="35"/>
      <c r="I118" s="4"/>
      <c r="J118" s="4"/>
      <c r="K118" s="5"/>
      <c r="L118" s="5"/>
      <c r="M118" s="5"/>
      <c r="N118" s="5"/>
    </row>
    <row r="119" spans="4:14" x14ac:dyDescent="0.25">
      <c r="D119" s="5"/>
      <c r="E119" s="33"/>
      <c r="F119" s="33"/>
      <c r="G119" s="35"/>
      <c r="I119" s="4"/>
      <c r="J119" s="4"/>
      <c r="K119" s="5"/>
      <c r="L119" s="5"/>
      <c r="M119" s="5"/>
      <c r="N119" s="5"/>
    </row>
    <row r="120" spans="4:14" x14ac:dyDescent="0.25">
      <c r="D120" s="5"/>
      <c r="E120" s="33"/>
      <c r="F120" s="33"/>
      <c r="G120" s="35"/>
      <c r="I120" s="4"/>
      <c r="J120" s="4"/>
      <c r="K120" s="5"/>
      <c r="L120" s="5"/>
      <c r="M120" s="5"/>
      <c r="N120" s="5"/>
    </row>
    <row r="121" spans="4:14" x14ac:dyDescent="0.25">
      <c r="D121" s="5"/>
      <c r="E121" s="33"/>
      <c r="F121" s="33"/>
      <c r="G121" s="35"/>
      <c r="I121" s="4"/>
      <c r="J121" s="4"/>
      <c r="K121" s="5"/>
      <c r="L121" s="5"/>
      <c r="M121" s="5"/>
      <c r="N121" s="5"/>
    </row>
    <row r="122" spans="4:14" x14ac:dyDescent="0.25">
      <c r="D122" s="5"/>
      <c r="E122" s="33"/>
      <c r="F122" s="33"/>
      <c r="G122" s="35"/>
      <c r="I122" s="4"/>
      <c r="J122" s="4"/>
      <c r="K122" s="5"/>
      <c r="L122" s="5"/>
      <c r="M122" s="5"/>
      <c r="N122" s="5"/>
    </row>
    <row r="123" spans="4:14" x14ac:dyDescent="0.25">
      <c r="D123" s="5"/>
      <c r="E123" s="33"/>
      <c r="F123" s="33"/>
      <c r="G123" s="35"/>
      <c r="I123" s="4"/>
      <c r="J123" s="4"/>
      <c r="K123" s="5"/>
      <c r="L123" s="5"/>
      <c r="M123" s="5"/>
      <c r="N123" s="5"/>
    </row>
    <row r="124" spans="4:14" x14ac:dyDescent="0.25">
      <c r="D124" s="5"/>
      <c r="E124" s="33"/>
      <c r="F124" s="33"/>
      <c r="G124" s="35"/>
      <c r="I124" s="4"/>
      <c r="J124" s="4"/>
      <c r="K124" s="5"/>
      <c r="L124" s="5"/>
      <c r="M124" s="5"/>
      <c r="N124" s="5"/>
    </row>
    <row r="125" spans="4:14" x14ac:dyDescent="0.25">
      <c r="D125" s="5"/>
      <c r="E125" s="33"/>
      <c r="F125" s="33"/>
      <c r="G125" s="35"/>
      <c r="I125" s="4"/>
      <c r="J125" s="4"/>
      <c r="K125" s="5"/>
      <c r="L125" s="5"/>
      <c r="M125" s="5"/>
      <c r="N125" s="5"/>
    </row>
    <row r="126" spans="4:14" x14ac:dyDescent="0.25">
      <c r="D126" s="5"/>
      <c r="E126" s="33"/>
      <c r="F126" s="33"/>
      <c r="G126" s="35"/>
      <c r="I126" s="4"/>
      <c r="J126" s="4"/>
      <c r="K126" s="5"/>
      <c r="L126" s="5"/>
      <c r="M126" s="5"/>
      <c r="N126" s="5"/>
    </row>
    <row r="127" spans="4:14" x14ac:dyDescent="0.25">
      <c r="D127" s="5"/>
      <c r="E127" s="33"/>
      <c r="F127" s="33"/>
      <c r="G127" s="35"/>
      <c r="I127" s="4"/>
      <c r="J127" s="4"/>
      <c r="K127" s="5"/>
      <c r="L127" s="5"/>
      <c r="M127" s="5"/>
      <c r="N127" s="5"/>
    </row>
    <row r="128" spans="4:14" x14ac:dyDescent="0.25">
      <c r="D128" s="5"/>
      <c r="E128" s="33"/>
      <c r="F128" s="33"/>
      <c r="G128" s="35"/>
      <c r="I128" s="4"/>
      <c r="J128" s="4"/>
      <c r="K128" s="5"/>
      <c r="L128" s="5"/>
      <c r="M128" s="5"/>
      <c r="N128" s="5"/>
    </row>
    <row r="129" spans="4:14" x14ac:dyDescent="0.25">
      <c r="D129" s="5"/>
      <c r="E129" s="33"/>
      <c r="F129" s="33"/>
      <c r="G129" s="35"/>
      <c r="I129" s="4"/>
      <c r="J129" s="4"/>
      <c r="K129" s="5"/>
      <c r="L129" s="5"/>
      <c r="M129" s="5"/>
      <c r="N129" s="5"/>
    </row>
    <row r="130" spans="4:14" x14ac:dyDescent="0.25">
      <c r="D130" s="5"/>
      <c r="E130" s="33"/>
      <c r="F130" s="33"/>
      <c r="G130" s="35"/>
      <c r="I130" s="4"/>
      <c r="J130" s="4"/>
      <c r="K130" s="5"/>
      <c r="L130" s="5"/>
      <c r="M130" s="5"/>
      <c r="N130" s="5"/>
    </row>
    <row r="131" spans="4:14" x14ac:dyDescent="0.25">
      <c r="D131" s="5"/>
      <c r="E131" s="33"/>
      <c r="F131" s="33"/>
      <c r="G131" s="35"/>
      <c r="I131" s="4"/>
      <c r="J131" s="4"/>
      <c r="K131" s="5"/>
      <c r="L131" s="5"/>
      <c r="M131" s="5"/>
      <c r="N131" s="5"/>
    </row>
    <row r="132" spans="4:14" x14ac:dyDescent="0.25">
      <c r="D132" s="5"/>
      <c r="E132" s="33"/>
      <c r="F132" s="33"/>
      <c r="G132" s="35"/>
      <c r="I132" s="4"/>
      <c r="J132" s="4"/>
      <c r="K132" s="5"/>
      <c r="L132" s="5"/>
      <c r="M132" s="5"/>
      <c r="N132" s="5"/>
    </row>
    <row r="133" spans="4:14" x14ac:dyDescent="0.25">
      <c r="D133" s="5"/>
      <c r="E133" s="33"/>
      <c r="F133" s="33"/>
      <c r="G133" s="35"/>
      <c r="I133" s="4"/>
      <c r="J133" s="4"/>
      <c r="K133" s="5"/>
      <c r="L133" s="5"/>
      <c r="M133" s="5"/>
      <c r="N133" s="5"/>
    </row>
    <row r="134" spans="4:14" x14ac:dyDescent="0.25">
      <c r="D134" s="5"/>
      <c r="E134" s="33"/>
      <c r="F134" s="33"/>
      <c r="G134" s="35"/>
      <c r="I134" s="4"/>
      <c r="J134" s="4"/>
      <c r="K134" s="5"/>
      <c r="L134" s="5"/>
      <c r="M134" s="5"/>
      <c r="N134" s="5"/>
    </row>
    <row r="135" spans="4:14" x14ac:dyDescent="0.25">
      <c r="D135" s="5"/>
      <c r="E135" s="33"/>
      <c r="F135" s="33"/>
      <c r="G135" s="35"/>
      <c r="I135" s="4"/>
      <c r="J135" s="4"/>
      <c r="K135" s="5"/>
      <c r="L135" s="5"/>
      <c r="M135" s="5"/>
      <c r="N135" s="5"/>
    </row>
    <row r="136" spans="4:14" x14ac:dyDescent="0.25">
      <c r="D136" s="5"/>
      <c r="E136" s="33"/>
      <c r="F136" s="33"/>
      <c r="G136" s="35"/>
      <c r="I136" s="4"/>
      <c r="J136" s="4"/>
      <c r="K136" s="5"/>
      <c r="L136" s="5"/>
      <c r="M136" s="5"/>
      <c r="N136" s="5"/>
    </row>
    <row r="137" spans="4:14" x14ac:dyDescent="0.25">
      <c r="D137" s="5"/>
      <c r="E137" s="33"/>
      <c r="F137" s="33"/>
      <c r="G137" s="35"/>
      <c r="I137" s="4"/>
      <c r="J137" s="4"/>
      <c r="K137" s="5"/>
      <c r="L137" s="5"/>
      <c r="M137" s="5"/>
      <c r="N137" s="5"/>
    </row>
    <row r="138" spans="4:14" x14ac:dyDescent="0.25">
      <c r="D138" s="5"/>
      <c r="E138" s="33"/>
      <c r="F138" s="33"/>
      <c r="G138" s="35"/>
      <c r="I138" s="4"/>
      <c r="J138" s="4"/>
      <c r="K138" s="5"/>
      <c r="L138" s="5"/>
      <c r="M138" s="5"/>
      <c r="N138" s="5"/>
    </row>
    <row r="139" spans="4:14" x14ac:dyDescent="0.25">
      <c r="D139" s="5"/>
      <c r="E139" s="33"/>
      <c r="F139" s="33"/>
      <c r="G139" s="35"/>
      <c r="I139" s="4"/>
      <c r="J139" s="4"/>
      <c r="K139" s="5"/>
      <c r="L139" s="5"/>
      <c r="M139" s="5"/>
      <c r="N139" s="5"/>
    </row>
    <row r="140" spans="4:14" x14ac:dyDescent="0.25">
      <c r="D140" s="5"/>
      <c r="E140" s="33"/>
      <c r="F140" s="33"/>
      <c r="G140" s="35"/>
      <c r="I140" s="4"/>
      <c r="J140" s="4"/>
      <c r="K140" s="5"/>
      <c r="L140" s="5"/>
      <c r="M140" s="5"/>
      <c r="N140" s="5"/>
    </row>
    <row r="141" spans="4:14" x14ac:dyDescent="0.25">
      <c r="D141" s="5"/>
      <c r="E141" s="33"/>
      <c r="F141" s="33"/>
      <c r="G141" s="35"/>
      <c r="I141" s="4"/>
      <c r="J141" s="4"/>
      <c r="K141" s="5"/>
      <c r="L141" s="5"/>
      <c r="M141" s="5"/>
      <c r="N141" s="5"/>
    </row>
    <row r="142" spans="4:14" x14ac:dyDescent="0.25">
      <c r="D142" s="5"/>
      <c r="E142" s="33"/>
      <c r="F142" s="33"/>
      <c r="G142" s="35"/>
      <c r="I142" s="4"/>
      <c r="J142" s="4"/>
      <c r="K142" s="5"/>
      <c r="L142" s="5"/>
      <c r="M142" s="5"/>
      <c r="N142" s="5"/>
    </row>
    <row r="143" spans="4:14" x14ac:dyDescent="0.25">
      <c r="D143" s="5"/>
      <c r="E143" s="33"/>
      <c r="F143" s="33"/>
      <c r="G143" s="35"/>
      <c r="I143" s="4"/>
      <c r="J143" s="4"/>
      <c r="K143" s="5"/>
      <c r="L143" s="5"/>
      <c r="M143" s="5"/>
      <c r="N143" s="5"/>
    </row>
    <row r="144" spans="4:14" x14ac:dyDescent="0.25">
      <c r="D144" s="5"/>
      <c r="E144" s="33"/>
      <c r="F144" s="33"/>
      <c r="G144" s="35"/>
      <c r="I144" s="4"/>
      <c r="J144" s="4"/>
      <c r="K144" s="5"/>
      <c r="L144" s="5"/>
      <c r="M144" s="5"/>
      <c r="N144" s="5"/>
    </row>
    <row r="145" spans="4:14" x14ac:dyDescent="0.25">
      <c r="D145" s="5"/>
      <c r="E145" s="33"/>
      <c r="F145" s="33"/>
      <c r="G145" s="35"/>
      <c r="I145" s="4"/>
      <c r="J145" s="4"/>
      <c r="K145" s="5"/>
      <c r="L145" s="5"/>
      <c r="M145" s="5"/>
      <c r="N145" s="5"/>
    </row>
    <row r="146" spans="4:14" x14ac:dyDescent="0.25">
      <c r="D146" s="5"/>
      <c r="E146" s="33"/>
      <c r="F146" s="33"/>
      <c r="G146" s="35"/>
      <c r="I146" s="4"/>
      <c r="J146" s="4"/>
      <c r="K146" s="5"/>
      <c r="L146" s="5"/>
      <c r="M146" s="5"/>
      <c r="N146" s="5"/>
    </row>
    <row r="147" spans="4:14" x14ac:dyDescent="0.25">
      <c r="D147" s="5"/>
      <c r="E147" s="33"/>
      <c r="F147" s="33"/>
      <c r="G147" s="35"/>
      <c r="I147" s="4"/>
      <c r="J147" s="4"/>
      <c r="K147" s="5"/>
      <c r="L147" s="5"/>
      <c r="M147" s="5"/>
      <c r="N147" s="5"/>
    </row>
    <row r="148" spans="4:14" x14ac:dyDescent="0.25">
      <c r="D148" s="5"/>
      <c r="E148" s="33"/>
      <c r="F148" s="33"/>
      <c r="G148" s="35"/>
      <c r="I148" s="4"/>
      <c r="J148" s="4"/>
      <c r="K148" s="5"/>
      <c r="L148" s="5"/>
      <c r="M148" s="5"/>
      <c r="N148" s="5"/>
    </row>
    <row r="149" spans="4:14" x14ac:dyDescent="0.25">
      <c r="D149" s="5"/>
      <c r="E149" s="33"/>
      <c r="F149" s="33"/>
      <c r="G149" s="35"/>
      <c r="I149" s="4"/>
      <c r="J149" s="4"/>
      <c r="K149" s="5"/>
      <c r="L149" s="5"/>
      <c r="M149" s="5"/>
      <c r="N149" s="5"/>
    </row>
    <row r="150" spans="4:14" x14ac:dyDescent="0.25">
      <c r="D150" s="5"/>
      <c r="E150" s="33"/>
      <c r="F150" s="33"/>
      <c r="G150" s="35"/>
      <c r="I150" s="4"/>
      <c r="J150" s="4"/>
      <c r="K150" s="5"/>
      <c r="L150" s="5"/>
      <c r="M150" s="5"/>
      <c r="N150" s="5"/>
    </row>
    <row r="151" spans="4:14" x14ac:dyDescent="0.25">
      <c r="D151" s="5"/>
      <c r="E151" s="33"/>
      <c r="F151" s="33"/>
      <c r="G151" s="35"/>
      <c r="I151" s="4"/>
      <c r="J151" s="4"/>
      <c r="K151" s="5"/>
      <c r="L151" s="5"/>
      <c r="M151" s="5"/>
      <c r="N151" s="5"/>
    </row>
    <row r="152" spans="4:14" x14ac:dyDescent="0.25">
      <c r="D152" s="5"/>
      <c r="E152" s="33"/>
      <c r="F152" s="33"/>
      <c r="G152" s="35"/>
      <c r="I152" s="4"/>
      <c r="J152" s="4"/>
      <c r="K152" s="5"/>
      <c r="L152" s="5"/>
      <c r="M152" s="5"/>
      <c r="N152" s="5"/>
    </row>
    <row r="153" spans="4:14" x14ac:dyDescent="0.25">
      <c r="D153" s="5"/>
      <c r="E153" s="33"/>
      <c r="F153" s="33"/>
      <c r="G153" s="35"/>
      <c r="I153" s="4"/>
      <c r="J153" s="4"/>
      <c r="K153" s="5"/>
      <c r="L153" s="5"/>
      <c r="M153" s="5"/>
      <c r="N153" s="5"/>
    </row>
    <row r="154" spans="4:14" x14ac:dyDescent="0.25">
      <c r="D154" s="5"/>
      <c r="E154" s="33"/>
      <c r="F154" s="33"/>
      <c r="G154" s="35"/>
      <c r="I154" s="4"/>
      <c r="J154" s="4"/>
      <c r="K154" s="5"/>
      <c r="L154" s="5"/>
      <c r="M154" s="5"/>
      <c r="N154" s="5"/>
    </row>
    <row r="155" spans="4:14" x14ac:dyDescent="0.25">
      <c r="D155" s="5"/>
      <c r="E155" s="33"/>
      <c r="F155" s="33"/>
      <c r="G155" s="35"/>
      <c r="I155" s="4"/>
      <c r="J155" s="4"/>
      <c r="K155" s="5"/>
      <c r="L155" s="5"/>
      <c r="M155" s="5"/>
      <c r="N155" s="5"/>
    </row>
    <row r="156" spans="4:14" x14ac:dyDescent="0.25">
      <c r="D156" s="5"/>
      <c r="E156" s="33"/>
      <c r="F156" s="33"/>
      <c r="G156" s="35"/>
      <c r="I156" s="4"/>
      <c r="J156" s="4"/>
      <c r="K156" s="5"/>
      <c r="L156" s="5"/>
      <c r="M156" s="5"/>
      <c r="N156" s="5"/>
    </row>
    <row r="157" spans="4:14" x14ac:dyDescent="0.25">
      <c r="D157" s="5"/>
      <c r="E157" s="33"/>
      <c r="F157" s="33"/>
      <c r="G157" s="35"/>
      <c r="I157" s="4"/>
      <c r="J157" s="4"/>
      <c r="K157" s="5"/>
      <c r="L157" s="5"/>
      <c r="M157" s="5"/>
      <c r="N157" s="5"/>
    </row>
    <row r="158" spans="4:14" x14ac:dyDescent="0.25">
      <c r="D158" s="5"/>
      <c r="E158" s="33"/>
      <c r="F158" s="33"/>
      <c r="G158" s="35"/>
      <c r="I158" s="4"/>
      <c r="J158" s="4"/>
      <c r="K158" s="5"/>
      <c r="L158" s="5"/>
      <c r="M158" s="5"/>
      <c r="N158" s="5"/>
    </row>
    <row r="159" spans="4:14" x14ac:dyDescent="0.25">
      <c r="D159" s="5"/>
      <c r="E159" s="33"/>
      <c r="F159" s="33"/>
      <c r="G159" s="35"/>
      <c r="I159" s="4"/>
      <c r="J159" s="4"/>
      <c r="K159" s="5"/>
      <c r="L159" s="5"/>
      <c r="M159" s="5"/>
      <c r="N159" s="5"/>
    </row>
    <row r="160" spans="4:14" x14ac:dyDescent="0.25">
      <c r="D160" s="5"/>
      <c r="E160" s="33"/>
      <c r="F160" s="33"/>
      <c r="G160" s="35"/>
      <c r="I160" s="4"/>
      <c r="J160" s="4"/>
      <c r="K160" s="5"/>
      <c r="L160" s="5"/>
      <c r="M160" s="5"/>
      <c r="N160" s="5"/>
    </row>
    <row r="161" spans="4:14" x14ac:dyDescent="0.25">
      <c r="D161" s="5"/>
      <c r="E161" s="33"/>
      <c r="F161" s="33"/>
      <c r="G161" s="35"/>
      <c r="I161" s="4"/>
      <c r="J161" s="4"/>
      <c r="K161" s="5"/>
      <c r="L161" s="5"/>
      <c r="M161" s="5"/>
      <c r="N161" s="5"/>
    </row>
    <row r="162" spans="4:14" x14ac:dyDescent="0.25">
      <c r="D162" s="5"/>
      <c r="E162" s="33"/>
      <c r="F162" s="33"/>
      <c r="G162" s="35"/>
      <c r="I162" s="4"/>
      <c r="J162" s="4"/>
      <c r="K162" s="5"/>
      <c r="L162" s="5"/>
      <c r="M162" s="5"/>
      <c r="N162" s="5"/>
    </row>
    <row r="163" spans="4:14" x14ac:dyDescent="0.25">
      <c r="D163" s="5"/>
      <c r="E163" s="33"/>
      <c r="F163" s="33"/>
      <c r="G163" s="35"/>
      <c r="I163" s="4"/>
      <c r="J163" s="4"/>
      <c r="K163" s="5"/>
      <c r="L163" s="5"/>
      <c r="M163" s="5"/>
      <c r="N163" s="5"/>
    </row>
    <row r="164" spans="4:14" x14ac:dyDescent="0.25">
      <c r="D164" s="5"/>
      <c r="E164" s="33"/>
      <c r="F164" s="33"/>
      <c r="G164" s="35"/>
      <c r="I164" s="4"/>
      <c r="J164" s="4"/>
      <c r="K164" s="5"/>
      <c r="L164" s="5"/>
      <c r="M164" s="5"/>
      <c r="N164" s="5"/>
    </row>
    <row r="165" spans="4:14" x14ac:dyDescent="0.25">
      <c r="D165" s="5"/>
      <c r="E165" s="33"/>
      <c r="F165" s="33"/>
      <c r="G165" s="35"/>
      <c r="I165" s="4"/>
      <c r="J165" s="4"/>
      <c r="K165" s="5"/>
      <c r="L165" s="5"/>
      <c r="M165" s="5"/>
      <c r="N165" s="5"/>
    </row>
    <row r="166" spans="4:14" x14ac:dyDescent="0.25">
      <c r="D166" s="5"/>
      <c r="E166" s="33"/>
      <c r="F166" s="33"/>
      <c r="G166" s="35"/>
      <c r="I166" s="4"/>
      <c r="J166" s="4"/>
      <c r="K166" s="5"/>
      <c r="L166" s="5"/>
      <c r="M166" s="5"/>
      <c r="N166" s="5"/>
    </row>
    <row r="167" spans="4:14" x14ac:dyDescent="0.25">
      <c r="D167" s="5"/>
      <c r="E167" s="33"/>
      <c r="F167" s="33"/>
      <c r="G167" s="35"/>
      <c r="I167" s="4"/>
      <c r="J167" s="4"/>
      <c r="K167" s="5"/>
      <c r="L167" s="5"/>
      <c r="M167" s="5"/>
      <c r="N167" s="5"/>
    </row>
    <row r="168" spans="4:14" x14ac:dyDescent="0.25">
      <c r="D168" s="5"/>
      <c r="E168" s="33"/>
      <c r="F168" s="33"/>
      <c r="G168" s="35"/>
      <c r="I168" s="4"/>
      <c r="J168" s="4"/>
      <c r="K168" s="5"/>
      <c r="L168" s="5"/>
      <c r="M168" s="5"/>
      <c r="N168" s="5"/>
    </row>
    <row r="169" spans="4:14" x14ac:dyDescent="0.25">
      <c r="D169" s="5"/>
      <c r="E169" s="33"/>
      <c r="F169" s="33"/>
      <c r="G169" s="35"/>
      <c r="I169" s="4"/>
      <c r="J169" s="4"/>
      <c r="K169" s="5"/>
      <c r="L169" s="5"/>
      <c r="M169" s="5"/>
      <c r="N169" s="5"/>
    </row>
    <row r="170" spans="4:14" x14ac:dyDescent="0.25">
      <c r="D170" s="5"/>
      <c r="E170" s="33"/>
      <c r="F170" s="33"/>
      <c r="G170" s="35"/>
      <c r="I170" s="4"/>
      <c r="J170" s="4"/>
      <c r="K170" s="5"/>
      <c r="L170" s="5"/>
      <c r="M170" s="5"/>
      <c r="N170" s="5"/>
    </row>
    <row r="171" spans="4:14" x14ac:dyDescent="0.25">
      <c r="D171" s="5"/>
      <c r="E171" s="33"/>
      <c r="F171" s="33"/>
      <c r="G171" s="35"/>
      <c r="I171" s="4"/>
      <c r="J171" s="4"/>
      <c r="K171" s="5"/>
      <c r="L171" s="5"/>
      <c r="M171" s="5"/>
      <c r="N171" s="5"/>
    </row>
    <row r="172" spans="4:14" x14ac:dyDescent="0.25">
      <c r="D172" s="5"/>
      <c r="E172" s="33"/>
      <c r="F172" s="33"/>
      <c r="G172" s="35"/>
      <c r="I172" s="4"/>
      <c r="J172" s="4"/>
      <c r="K172" s="5"/>
      <c r="L172" s="5"/>
      <c r="M172" s="5"/>
      <c r="N172" s="5"/>
    </row>
    <row r="173" spans="4:14" x14ac:dyDescent="0.25">
      <c r="D173" s="5"/>
      <c r="E173" s="33"/>
      <c r="F173" s="33"/>
      <c r="G173" s="35"/>
      <c r="I173" s="4"/>
      <c r="J173" s="4"/>
      <c r="K173" s="5"/>
      <c r="L173" s="5"/>
      <c r="M173" s="5"/>
      <c r="N173" s="5"/>
    </row>
    <row r="174" spans="4:14" x14ac:dyDescent="0.25">
      <c r="D174" s="5"/>
      <c r="E174" s="33"/>
      <c r="F174" s="33"/>
      <c r="G174" s="35"/>
      <c r="I174" s="4"/>
      <c r="J174" s="4"/>
      <c r="K174" s="5"/>
      <c r="L174" s="5"/>
      <c r="M174" s="5"/>
      <c r="N174" s="5"/>
    </row>
    <row r="175" spans="4:14" x14ac:dyDescent="0.25">
      <c r="D175" s="5"/>
      <c r="E175" s="33"/>
      <c r="F175" s="33"/>
      <c r="G175" s="35"/>
      <c r="I175" s="4"/>
      <c r="J175" s="4"/>
      <c r="K175" s="5"/>
      <c r="L175" s="5"/>
      <c r="M175" s="5"/>
      <c r="N175" s="5"/>
    </row>
    <row r="176" spans="4:14" x14ac:dyDescent="0.25">
      <c r="D176" s="5"/>
      <c r="E176" s="33"/>
      <c r="F176" s="33"/>
      <c r="G176" s="35"/>
      <c r="I176" s="4"/>
      <c r="J176" s="4"/>
      <c r="K176" s="5"/>
      <c r="L176" s="5"/>
      <c r="M176" s="5"/>
      <c r="N176" s="5"/>
    </row>
    <row r="177" spans="4:14" x14ac:dyDescent="0.25">
      <c r="D177" s="5"/>
      <c r="E177" s="33"/>
      <c r="F177" s="33"/>
      <c r="G177" s="35"/>
      <c r="I177" s="4"/>
      <c r="J177" s="4"/>
      <c r="K177" s="5"/>
      <c r="L177" s="5"/>
      <c r="M177" s="5"/>
      <c r="N177" s="5"/>
    </row>
    <row r="178" spans="4:14" x14ac:dyDescent="0.25">
      <c r="D178" s="5"/>
      <c r="E178" s="33"/>
      <c r="F178" s="33"/>
      <c r="G178" s="35"/>
      <c r="I178" s="4"/>
      <c r="J178" s="4"/>
      <c r="K178" s="5"/>
      <c r="L178" s="5"/>
      <c r="M178" s="5"/>
      <c r="N178" s="5"/>
    </row>
    <row r="179" spans="4:14" x14ac:dyDescent="0.25">
      <c r="D179" s="5"/>
      <c r="E179" s="33"/>
      <c r="F179" s="33"/>
      <c r="G179" s="35"/>
      <c r="I179" s="4"/>
      <c r="J179" s="4"/>
      <c r="K179" s="5"/>
      <c r="L179" s="5"/>
      <c r="M179" s="5"/>
      <c r="N179" s="5"/>
    </row>
    <row r="180" spans="4:14" x14ac:dyDescent="0.25">
      <c r="D180" s="5"/>
      <c r="E180" s="33"/>
      <c r="F180" s="33"/>
      <c r="G180" s="35"/>
      <c r="I180" s="4"/>
      <c r="J180" s="4"/>
      <c r="K180" s="5"/>
      <c r="L180" s="5"/>
      <c r="M180" s="5"/>
      <c r="N180" s="5"/>
    </row>
    <row r="181" spans="4:14" x14ac:dyDescent="0.25">
      <c r="D181" s="5"/>
      <c r="E181" s="33"/>
      <c r="F181" s="33"/>
      <c r="G181" s="35"/>
      <c r="I181" s="4"/>
      <c r="J181" s="4"/>
      <c r="K181" s="5"/>
      <c r="L181" s="5"/>
      <c r="M181" s="5"/>
      <c r="N181" s="5"/>
    </row>
    <row r="182" spans="4:14" x14ac:dyDescent="0.25">
      <c r="D182" s="5"/>
      <c r="E182" s="33"/>
      <c r="F182" s="33"/>
      <c r="G182" s="35"/>
      <c r="I182" s="4"/>
      <c r="J182" s="4"/>
      <c r="K182" s="5"/>
      <c r="L182" s="5"/>
      <c r="M182" s="5"/>
      <c r="N182" s="5"/>
    </row>
    <row r="183" spans="4:14" x14ac:dyDescent="0.25">
      <c r="D183" s="5"/>
      <c r="E183" s="33"/>
      <c r="F183" s="33"/>
      <c r="G183" s="35"/>
      <c r="I183" s="4"/>
      <c r="J183" s="4"/>
      <c r="K183" s="5"/>
      <c r="L183" s="5"/>
      <c r="M183" s="5"/>
      <c r="N183" s="5"/>
    </row>
    <row r="184" spans="4:14" x14ac:dyDescent="0.25">
      <c r="D184" s="5"/>
      <c r="E184" s="33"/>
      <c r="F184" s="33"/>
      <c r="G184" s="35"/>
      <c r="I184" s="4"/>
      <c r="J184" s="4"/>
      <c r="K184" s="5"/>
      <c r="L184" s="5"/>
      <c r="M184" s="5"/>
      <c r="N184" s="5"/>
    </row>
    <row r="185" spans="4:14" x14ac:dyDescent="0.25">
      <c r="D185" s="5"/>
      <c r="E185" s="33"/>
      <c r="F185" s="33"/>
      <c r="G185" s="35"/>
      <c r="I185" s="4"/>
      <c r="J185" s="4"/>
      <c r="K185" s="5"/>
      <c r="L185" s="5"/>
      <c r="M185" s="5"/>
      <c r="N185" s="5"/>
    </row>
    <row r="186" spans="4:14" x14ac:dyDescent="0.25">
      <c r="D186" s="5"/>
      <c r="E186" s="33"/>
      <c r="F186" s="33"/>
      <c r="G186" s="35"/>
      <c r="I186" s="4"/>
      <c r="J186" s="4"/>
      <c r="K186" s="5"/>
      <c r="L186" s="5"/>
      <c r="M186" s="5"/>
      <c r="N186" s="5"/>
    </row>
    <row r="187" spans="4:14" x14ac:dyDescent="0.25">
      <c r="D187" s="5"/>
      <c r="E187" s="33"/>
      <c r="F187" s="33"/>
      <c r="G187" s="35"/>
      <c r="I187" s="4"/>
      <c r="J187" s="4"/>
      <c r="K187" s="5"/>
      <c r="L187" s="5"/>
      <c r="M187" s="5"/>
      <c r="N187" s="5"/>
    </row>
    <row r="188" spans="4:14" x14ac:dyDescent="0.25">
      <c r="D188" s="5"/>
      <c r="E188" s="33"/>
      <c r="F188" s="33"/>
      <c r="G188" s="35"/>
      <c r="I188" s="4"/>
      <c r="J188" s="4"/>
      <c r="K188" s="5"/>
      <c r="L188" s="5"/>
      <c r="M188" s="5"/>
      <c r="N188" s="5"/>
    </row>
    <row r="189" spans="4:14" x14ac:dyDescent="0.25">
      <c r="D189" s="5"/>
      <c r="E189" s="33"/>
      <c r="F189" s="33"/>
      <c r="G189" s="35"/>
      <c r="I189" s="4"/>
      <c r="J189" s="4"/>
      <c r="K189" s="5"/>
      <c r="L189" s="5"/>
      <c r="M189" s="5"/>
      <c r="N189" s="5"/>
    </row>
    <row r="190" spans="4:14" x14ac:dyDescent="0.25">
      <c r="D190" s="5"/>
      <c r="E190" s="33"/>
      <c r="F190" s="33"/>
      <c r="G190" s="35"/>
      <c r="I190" s="4"/>
      <c r="J190" s="4"/>
      <c r="K190" s="5"/>
      <c r="L190" s="5"/>
      <c r="M190" s="5"/>
      <c r="N190" s="5"/>
    </row>
    <row r="191" spans="4:14" x14ac:dyDescent="0.25">
      <c r="D191" s="5"/>
      <c r="E191" s="33"/>
      <c r="F191" s="33"/>
      <c r="G191" s="35"/>
      <c r="I191" s="4"/>
      <c r="J191" s="4"/>
      <c r="K191" s="5"/>
      <c r="L191" s="5"/>
      <c r="M191" s="5"/>
      <c r="N191" s="5"/>
    </row>
    <row r="192" spans="4:14" x14ac:dyDescent="0.25">
      <c r="D192" s="5"/>
      <c r="E192" s="33"/>
      <c r="F192" s="33"/>
      <c r="G192" s="35"/>
      <c r="I192" s="4"/>
      <c r="J192" s="4"/>
      <c r="K192" s="5"/>
      <c r="L192" s="5"/>
      <c r="M192" s="5"/>
      <c r="N192" s="5"/>
    </row>
    <row r="193" spans="4:14" x14ac:dyDescent="0.25">
      <c r="D193" s="5"/>
      <c r="E193" s="33"/>
      <c r="F193" s="33"/>
      <c r="G193" s="35"/>
      <c r="I193" s="4"/>
      <c r="J193" s="4"/>
      <c r="K193" s="5"/>
      <c r="L193" s="5"/>
      <c r="M193" s="5"/>
      <c r="N193" s="5"/>
    </row>
    <row r="194" spans="4:14" x14ac:dyDescent="0.25">
      <c r="D194" s="5"/>
      <c r="E194" s="33"/>
      <c r="F194" s="33"/>
      <c r="G194" s="35"/>
      <c r="I194" s="4"/>
      <c r="J194" s="4"/>
      <c r="K194" s="5"/>
      <c r="L194" s="5"/>
      <c r="M194" s="5"/>
      <c r="N194" s="5"/>
    </row>
    <row r="195" spans="4:14" x14ac:dyDescent="0.25">
      <c r="D195" s="5"/>
      <c r="E195" s="33"/>
      <c r="F195" s="33"/>
      <c r="G195" s="35"/>
      <c r="I195" s="4"/>
      <c r="J195" s="4"/>
      <c r="K195" s="5"/>
      <c r="L195" s="5"/>
      <c r="M195" s="5"/>
      <c r="N195" s="5"/>
    </row>
    <row r="196" spans="4:14" x14ac:dyDescent="0.25">
      <c r="D196" s="5"/>
      <c r="E196" s="33"/>
      <c r="F196" s="33"/>
      <c r="G196" s="35"/>
      <c r="I196" s="4"/>
      <c r="J196" s="4"/>
      <c r="K196" s="5"/>
      <c r="L196" s="5"/>
      <c r="M196" s="5"/>
      <c r="N196" s="5"/>
    </row>
    <row r="197" spans="4:14" x14ac:dyDescent="0.25">
      <c r="D197" s="5"/>
      <c r="E197" s="33"/>
      <c r="F197" s="33"/>
      <c r="G197" s="35"/>
      <c r="I197" s="4"/>
      <c r="J197" s="4"/>
      <c r="K197" s="5"/>
      <c r="L197" s="5"/>
      <c r="M197" s="5"/>
      <c r="N197" s="5"/>
    </row>
    <row r="198" spans="4:14" x14ac:dyDescent="0.25">
      <c r="D198" s="5"/>
      <c r="E198" s="33"/>
      <c r="F198" s="33"/>
      <c r="G198" s="35"/>
      <c r="I198" s="4"/>
      <c r="J198" s="4"/>
      <c r="K198" s="5"/>
      <c r="L198" s="5"/>
      <c r="M198" s="5"/>
      <c r="N198" s="5"/>
    </row>
    <row r="199" spans="4:14" x14ac:dyDescent="0.25">
      <c r="D199" s="5"/>
      <c r="E199" s="33"/>
      <c r="F199" s="33"/>
      <c r="G199" s="35"/>
      <c r="I199" s="4"/>
      <c r="J199" s="4"/>
      <c r="K199" s="5"/>
      <c r="L199" s="5"/>
      <c r="M199" s="5"/>
      <c r="N199" s="5"/>
    </row>
    <row r="200" spans="4:14" x14ac:dyDescent="0.25">
      <c r="D200" s="5"/>
      <c r="E200" s="33"/>
      <c r="F200" s="33"/>
      <c r="G200" s="35"/>
      <c r="I200" s="4"/>
      <c r="J200" s="4"/>
      <c r="K200" s="5"/>
      <c r="L200" s="5"/>
      <c r="M200" s="5"/>
      <c r="N200" s="5"/>
    </row>
  </sheetData>
  <mergeCells count="2">
    <mergeCell ref="A1:O1"/>
    <mergeCell ref="A2:O2"/>
  </mergeCells>
  <phoneticPr fontId="2" type="noConversion"/>
  <conditionalFormatting sqref="M5:M200">
    <cfRule type="cellIs" dxfId="9" priority="5" operator="greaterThan">
      <formula>0</formula>
    </cfRule>
  </conditionalFormatting>
  <conditionalFormatting sqref="M5:M200">
    <cfRule type="cellIs" dxfId="8" priority="6" operator="lessThan">
      <formula>0</formula>
    </cfRule>
  </conditionalFormatting>
  <conditionalFormatting sqref="N5:N200">
    <cfRule type="cellIs" dxfId="7" priority="7" operator="greaterThan">
      <formula>0</formula>
    </cfRule>
  </conditionalFormatting>
  <conditionalFormatting sqref="N5:N200">
    <cfRule type="cellIs" dxfId="6" priority="8" operator="lessThan">
      <formula>0</formula>
    </cfRule>
  </conditionalFormatting>
  <dataValidations count="2">
    <dataValidation type="list" allowBlank="1" showInputMessage="1" showErrorMessage="1" sqref="A5:A200" xr:uid="{D4B40628-C931-483E-B673-69FB7128440D}">
      <formula1>"Velan,Pavi"</formula1>
    </dataValidation>
    <dataValidation type="list" allowBlank="1" showInputMessage="1" showErrorMessage="1" sqref="H5:H200" xr:uid="{E11BA0E2-D14E-427C-A73B-6AA8F33EDFFF}">
      <formula1>"Simple,Monthly,Quarterly,Half-yearly,Annually"</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3C96E-D016-45CA-90D6-389F3FFA566B}">
  <sheetPr>
    <tabColor rgb="FF8064A2"/>
  </sheetPr>
  <dimension ref="A1:O200"/>
  <sheetViews>
    <sheetView workbookViewId="0">
      <selection activeCell="D9" sqref="D9"/>
    </sheetView>
  </sheetViews>
  <sheetFormatPr defaultRowHeight="12.5" x14ac:dyDescent="0.25"/>
  <cols>
    <col min="1" max="1" width="12.7265625" customWidth="1"/>
    <col min="2" max="2" width="24.54296875" customWidth="1"/>
    <col min="3" max="3" width="17.26953125" customWidth="1"/>
    <col min="4" max="4" width="16.36328125" customWidth="1"/>
    <col min="5" max="6" width="15.453125" customWidth="1"/>
    <col min="7" max="7" width="13.6328125" customWidth="1"/>
    <col min="8" max="8" width="12.7265625" customWidth="1"/>
    <col min="9" max="9" width="14.54296875" customWidth="1"/>
    <col min="10" max="10" width="17.26953125" customWidth="1"/>
    <col min="11" max="11" width="18.1796875" customWidth="1"/>
    <col min="12" max="13" width="17.26953125" customWidth="1"/>
    <col min="14" max="14" width="16.36328125" customWidth="1"/>
    <col min="15" max="15" width="15.453125" customWidth="1"/>
  </cols>
  <sheetData>
    <row r="1" spans="1:15" ht="30" customHeight="1" x14ac:dyDescent="0.55000000000000004">
      <c r="A1" s="6" t="s">
        <v>129</v>
      </c>
      <c r="B1" s="6"/>
      <c r="C1" s="6"/>
      <c r="D1" s="6"/>
      <c r="E1" s="6"/>
      <c r="F1" s="6"/>
      <c r="G1" s="6"/>
      <c r="H1" s="6"/>
      <c r="I1" s="6"/>
      <c r="J1" s="6"/>
      <c r="K1" s="6"/>
      <c r="L1" s="6"/>
      <c r="M1" s="6"/>
      <c r="N1" s="6"/>
      <c r="O1" s="6"/>
    </row>
    <row r="2" spans="1:15" ht="13" x14ac:dyDescent="0.3">
      <c r="A2" s="9" t="s">
        <v>130</v>
      </c>
      <c r="B2" s="9"/>
      <c r="C2" s="9"/>
      <c r="D2" s="9"/>
      <c r="E2" s="9"/>
      <c r="F2" s="9"/>
      <c r="G2" s="9"/>
      <c r="H2" s="9"/>
      <c r="I2" s="9"/>
      <c r="J2" s="9"/>
      <c r="K2" s="9"/>
      <c r="L2" s="9"/>
      <c r="M2" s="9"/>
      <c r="N2" s="9"/>
      <c r="O2" s="9"/>
    </row>
    <row r="3" spans="1:15" ht="13" x14ac:dyDescent="0.3">
      <c r="A3" s="7"/>
      <c r="B3" s="7"/>
      <c r="C3" s="7"/>
      <c r="D3" s="7"/>
      <c r="E3" s="7"/>
      <c r="F3" s="7"/>
      <c r="G3" s="7"/>
      <c r="H3" s="7"/>
      <c r="I3" s="7"/>
      <c r="J3" s="7"/>
      <c r="K3" s="7"/>
      <c r="L3" s="7"/>
      <c r="M3" s="7"/>
      <c r="N3" s="7"/>
      <c r="O3" s="7"/>
    </row>
    <row r="4" spans="1:15" ht="30" customHeight="1" x14ac:dyDescent="0.3">
      <c r="A4" s="27" t="s">
        <v>110</v>
      </c>
      <c r="B4" s="27" t="s">
        <v>111</v>
      </c>
      <c r="C4" s="27" t="s">
        <v>131</v>
      </c>
      <c r="D4" s="27" t="s">
        <v>132</v>
      </c>
      <c r="E4" s="27" t="s">
        <v>114</v>
      </c>
      <c r="F4" s="27" t="s">
        <v>115</v>
      </c>
      <c r="G4" s="27" t="s">
        <v>116</v>
      </c>
      <c r="H4" s="27" t="s">
        <v>133</v>
      </c>
      <c r="I4" s="27" t="s">
        <v>134</v>
      </c>
      <c r="J4" s="27" t="s">
        <v>135</v>
      </c>
      <c r="K4" s="27" t="s">
        <v>136</v>
      </c>
      <c r="L4" s="27" t="s">
        <v>120</v>
      </c>
      <c r="M4" s="27" t="s">
        <v>119</v>
      </c>
      <c r="N4" s="27" t="s">
        <v>121</v>
      </c>
      <c r="O4" s="27" t="s">
        <v>123</v>
      </c>
    </row>
    <row r="5" spans="1:15" ht="13" x14ac:dyDescent="0.3">
      <c r="A5" s="30" t="s">
        <v>8</v>
      </c>
      <c r="B5" s="30"/>
      <c r="C5" s="30"/>
      <c r="D5" s="51"/>
      <c r="E5" s="32"/>
      <c r="F5" s="32"/>
      <c r="G5" s="34"/>
      <c r="H5" s="53"/>
      <c r="I5" s="26" t="str">
        <f t="shared" ref="I5" si="0">IF(OR(E5="",F5=""),"",MAX(0,DATEDIF(E5,F5,"m")))</f>
        <v/>
      </c>
      <c r="J5" s="29" t="str">
        <f t="shared" ref="J5" ca="1" si="1">IF(OR(D5="",E5="",I5=""),"",D5*MIN(I5,MAX(0,DATEDIF(E5,MIN(TODAY(),F5),"m")+1)))</f>
        <v/>
      </c>
      <c r="K5" s="29" t="str">
        <f t="shared" ref="K5" si="2">IF(OR(D5="",I5=""),"",D5*I5)</f>
        <v/>
      </c>
      <c r="L5" s="29" t="str">
        <f t="shared" ref="L5" ca="1" si="3">IF(OR(D5="",E5="",F5="",G5=""),"",_xlfn.LET(_xlpm.m,MIN(I5,MAX(0,DATEDIF(E5,MIN(TODAY(),F5),"m")+1)),_xlpm.rm,(1+G5/4)^(1/3)-1,IF(_xlpm.rm=0,D5*_xlpm.m,D5*((1+_xlpm.rm)^_xlpm.m-1)/_xlpm.rm)))</f>
        <v/>
      </c>
      <c r="M5" s="29" t="str">
        <f t="shared" ref="M5" si="4">IF(OR(D5="",I5="",G5=""),"",_xlfn.LET(_xlpm.rm,(1+G5/4)^(1/3)-1,IF(_xlpm.rm=0,D5*I5,D5*((1+_xlpm.rm)^I5-1)/_xlpm.rm)))</f>
        <v/>
      </c>
      <c r="N5" s="29" t="str">
        <f t="shared" ref="N5" ca="1" si="5">IF(OR(L5="",J5=""),"",L5-J5)</f>
        <v/>
      </c>
      <c r="O5" s="7" t="str">
        <f t="shared" ref="O5" ca="1" si="6">IF(A5="","",IF(OR(E5="",F5=""),"Details Required",IF(TODAY()&lt;E5,"Upcoming",IF(TODAY()&gt;=F5,"Matured","Active"))))</f>
        <v>Details Required</v>
      </c>
    </row>
    <row r="6" spans="1:15" ht="13" x14ac:dyDescent="0.3">
      <c r="A6" s="30" t="s">
        <v>10</v>
      </c>
      <c r="B6" s="30" t="s">
        <v>128</v>
      </c>
      <c r="C6" s="30"/>
      <c r="D6" s="51">
        <v>40000</v>
      </c>
      <c r="E6" s="32">
        <v>46086</v>
      </c>
      <c r="F6" s="32">
        <v>46482</v>
      </c>
      <c r="G6" s="34">
        <v>6.6000000000000003E-2</v>
      </c>
      <c r="H6" s="53">
        <v>5</v>
      </c>
      <c r="I6" s="26">
        <f>IF(OR(E6="",F6=""),"",MAX(0,DATEDIF(E6,F6,"m")))</f>
        <v>13</v>
      </c>
      <c r="J6" s="29">
        <f ca="1">IF(OR(D6="",E6="",I6=""),"",D6*MIN(I6,MAX(0,DATEDIF(E6,MIN(TODAY(),F6),"m")+1)))</f>
        <v>240000</v>
      </c>
      <c r="K6" s="29">
        <f>IF(OR(D6="",I6=""),"",D6*I6)</f>
        <v>520000</v>
      </c>
      <c r="L6" s="29">
        <f ca="1">IF(OR(D6="",E6="",F6="",G6=""),"",_xlfn.LET(_xlpm.m,MIN(I6,MAX(0,DATEDIF(E6,MIN(TODAY(),F6),"m")+1)),_xlpm.rm,(1+G6/4)^(1/3)-1,IF(_xlpm.rm=0,D6*_xlpm.m,D6*((1+_xlpm.rm)^_xlpm.m-1)/_xlpm.rm)))</f>
        <v>243306.0499159818</v>
      </c>
      <c r="M6" s="29">
        <f>IF(OR(D6="",I6="",G6=""),"",_xlfn.LET(_xlpm.rm,(1+G6/4)^(1/3)-1,IF(_xlpm.rm=0,D6*I6,D6*((1+_xlpm.rm)^I6-1)/_xlpm.rm)))</f>
        <v>537413.50125608523</v>
      </c>
      <c r="N6" s="29">
        <f ca="1">IF(OR(L6="",J6=""),"",L6-J6)</f>
        <v>3306.0499159817991</v>
      </c>
      <c r="O6" s="7" t="str">
        <f ca="1">IF(A6="","",IF(OR(E6="",F6=""),"Details Required",IF(TODAY()&lt;E6,"Upcoming",IF(TODAY()&gt;=F6,"Matured","Active"))))</f>
        <v>Active</v>
      </c>
    </row>
    <row r="7" spans="1:15" x14ac:dyDescent="0.25">
      <c r="D7" s="52"/>
      <c r="E7" s="33"/>
      <c r="F7" s="33"/>
      <c r="G7" s="35"/>
      <c r="H7" s="4"/>
      <c r="I7" s="4"/>
      <c r="J7" s="5"/>
      <c r="K7" s="5"/>
      <c r="L7" s="5"/>
      <c r="M7" s="5"/>
      <c r="N7" s="5"/>
    </row>
    <row r="8" spans="1:15" x14ac:dyDescent="0.25">
      <c r="D8" s="52"/>
      <c r="E8" s="33"/>
      <c r="F8" s="33"/>
      <c r="G8" s="35"/>
      <c r="H8" s="4"/>
      <c r="I8" s="4"/>
      <c r="J8" s="5"/>
      <c r="K8" s="5"/>
      <c r="L8" s="5"/>
      <c r="M8" s="5"/>
      <c r="N8" s="5"/>
    </row>
    <row r="9" spans="1:15" x14ac:dyDescent="0.25">
      <c r="D9" s="52"/>
      <c r="E9" s="33"/>
      <c r="F9" s="33"/>
      <c r="G9" s="35"/>
      <c r="H9" s="4"/>
      <c r="I9" s="4"/>
      <c r="J9" s="5"/>
      <c r="K9" s="5"/>
      <c r="L9" s="5"/>
      <c r="M9" s="5"/>
      <c r="N9" s="5"/>
    </row>
    <row r="10" spans="1:15" x14ac:dyDescent="0.25">
      <c r="D10" s="52"/>
      <c r="E10" s="33"/>
      <c r="F10" s="33"/>
      <c r="G10" s="35"/>
      <c r="H10" s="4"/>
      <c r="I10" s="4"/>
      <c r="J10" s="5"/>
      <c r="K10" s="5"/>
      <c r="L10" s="5"/>
      <c r="M10" s="5"/>
      <c r="N10" s="5"/>
    </row>
    <row r="11" spans="1:15" x14ac:dyDescent="0.25">
      <c r="D11" s="52"/>
      <c r="E11" s="33"/>
      <c r="F11" s="33"/>
      <c r="G11" s="35"/>
      <c r="H11" s="4"/>
      <c r="I11" s="4"/>
      <c r="J11" s="5"/>
      <c r="K11" s="5"/>
      <c r="L11" s="5"/>
      <c r="M11" s="5"/>
      <c r="N11" s="5"/>
    </row>
    <row r="12" spans="1:15" x14ac:dyDescent="0.25">
      <c r="D12" s="52"/>
      <c r="E12" s="33"/>
      <c r="F12" s="33"/>
      <c r="G12" s="35"/>
      <c r="H12" s="4"/>
      <c r="I12" s="4"/>
      <c r="J12" s="5"/>
      <c r="K12" s="5"/>
      <c r="L12" s="5"/>
      <c r="M12" s="5"/>
      <c r="N12" s="5"/>
    </row>
    <row r="13" spans="1:15" x14ac:dyDescent="0.25">
      <c r="D13" s="52"/>
      <c r="E13" s="33"/>
      <c r="F13" s="33"/>
      <c r="G13" s="35"/>
      <c r="H13" s="4"/>
      <c r="I13" s="4"/>
      <c r="J13" s="5"/>
      <c r="K13" s="5"/>
      <c r="L13" s="5"/>
      <c r="M13" s="5"/>
      <c r="N13" s="5"/>
    </row>
    <row r="14" spans="1:15" x14ac:dyDescent="0.25">
      <c r="D14" s="52"/>
      <c r="E14" s="33"/>
      <c r="F14" s="33"/>
      <c r="G14" s="35"/>
      <c r="H14" s="4"/>
      <c r="I14" s="4"/>
      <c r="J14" s="5"/>
      <c r="K14" s="5"/>
      <c r="L14" s="5"/>
      <c r="M14" s="5"/>
      <c r="N14" s="5"/>
    </row>
    <row r="15" spans="1:15" x14ac:dyDescent="0.25">
      <c r="D15" s="52"/>
      <c r="E15" s="33"/>
      <c r="F15" s="33"/>
      <c r="G15" s="35"/>
      <c r="H15" s="4"/>
      <c r="I15" s="4"/>
      <c r="J15" s="5"/>
      <c r="K15" s="5"/>
      <c r="L15" s="5"/>
      <c r="M15" s="5"/>
      <c r="N15" s="5"/>
    </row>
    <row r="16" spans="1:15" x14ac:dyDescent="0.25">
      <c r="D16" s="52"/>
      <c r="E16" s="33"/>
      <c r="F16" s="33"/>
      <c r="G16" s="35"/>
      <c r="H16" s="4"/>
      <c r="I16" s="4"/>
      <c r="J16" s="5"/>
      <c r="K16" s="5"/>
      <c r="L16" s="5"/>
      <c r="M16" s="5"/>
      <c r="N16" s="5"/>
    </row>
    <row r="17" spans="4:14" x14ac:dyDescent="0.25">
      <c r="D17" s="52"/>
      <c r="E17" s="33"/>
      <c r="F17" s="33"/>
      <c r="G17" s="35"/>
      <c r="H17" s="4"/>
      <c r="I17" s="4"/>
      <c r="J17" s="5"/>
      <c r="K17" s="5"/>
      <c r="L17" s="5"/>
      <c r="M17" s="5"/>
      <c r="N17" s="5"/>
    </row>
    <row r="18" spans="4:14" x14ac:dyDescent="0.25">
      <c r="D18" s="52"/>
      <c r="E18" s="33"/>
      <c r="F18" s="33"/>
      <c r="G18" s="35"/>
      <c r="H18" s="4"/>
      <c r="I18" s="4"/>
      <c r="J18" s="5"/>
      <c r="K18" s="5"/>
      <c r="L18" s="5"/>
      <c r="M18" s="5"/>
      <c r="N18" s="5"/>
    </row>
    <row r="19" spans="4:14" x14ac:dyDescent="0.25">
      <c r="D19" s="52"/>
      <c r="E19" s="33"/>
      <c r="F19" s="33"/>
      <c r="G19" s="35"/>
      <c r="H19" s="4"/>
      <c r="I19" s="4"/>
      <c r="J19" s="5"/>
      <c r="K19" s="5"/>
      <c r="L19" s="5"/>
      <c r="M19" s="5"/>
      <c r="N19" s="5"/>
    </row>
    <row r="20" spans="4:14" x14ac:dyDescent="0.25">
      <c r="D20" s="52"/>
      <c r="E20" s="33"/>
      <c r="F20" s="33"/>
      <c r="G20" s="35"/>
      <c r="H20" s="4"/>
      <c r="I20" s="4"/>
      <c r="J20" s="5"/>
      <c r="K20" s="5"/>
      <c r="L20" s="5"/>
      <c r="M20" s="5"/>
      <c r="N20" s="5"/>
    </row>
    <row r="21" spans="4:14" x14ac:dyDescent="0.25">
      <c r="D21" s="52"/>
      <c r="E21" s="33"/>
      <c r="F21" s="33"/>
      <c r="G21" s="35"/>
      <c r="H21" s="4"/>
      <c r="I21" s="4"/>
      <c r="J21" s="5"/>
      <c r="K21" s="5"/>
      <c r="L21" s="5"/>
      <c r="M21" s="5"/>
      <c r="N21" s="5"/>
    </row>
    <row r="22" spans="4:14" x14ac:dyDescent="0.25">
      <c r="D22" s="52"/>
      <c r="E22" s="33"/>
      <c r="F22" s="33"/>
      <c r="G22" s="35"/>
      <c r="H22" s="4"/>
      <c r="I22" s="4"/>
      <c r="J22" s="5"/>
      <c r="K22" s="5"/>
      <c r="L22" s="5"/>
      <c r="M22" s="5"/>
      <c r="N22" s="5"/>
    </row>
    <row r="23" spans="4:14" x14ac:dyDescent="0.25">
      <c r="D23" s="52"/>
      <c r="E23" s="33"/>
      <c r="F23" s="33"/>
      <c r="G23" s="35"/>
      <c r="H23" s="4"/>
      <c r="I23" s="4"/>
      <c r="J23" s="5"/>
      <c r="K23" s="5"/>
      <c r="L23" s="5"/>
      <c r="M23" s="5"/>
      <c r="N23" s="5"/>
    </row>
    <row r="24" spans="4:14" x14ac:dyDescent="0.25">
      <c r="D24" s="52"/>
      <c r="E24" s="33"/>
      <c r="F24" s="33"/>
      <c r="G24" s="35"/>
      <c r="H24" s="4"/>
      <c r="I24" s="4"/>
      <c r="J24" s="5"/>
      <c r="K24" s="5"/>
      <c r="L24" s="5"/>
      <c r="M24" s="5"/>
      <c r="N24" s="5"/>
    </row>
    <row r="25" spans="4:14" x14ac:dyDescent="0.25">
      <c r="D25" s="52"/>
      <c r="E25" s="33"/>
      <c r="F25" s="33"/>
      <c r="G25" s="35"/>
      <c r="H25" s="4"/>
      <c r="I25" s="4"/>
      <c r="J25" s="5"/>
      <c r="K25" s="5"/>
      <c r="L25" s="5"/>
      <c r="M25" s="5"/>
      <c r="N25" s="5"/>
    </row>
    <row r="26" spans="4:14" x14ac:dyDescent="0.25">
      <c r="D26" s="52"/>
      <c r="E26" s="33"/>
      <c r="F26" s="33"/>
      <c r="G26" s="35"/>
      <c r="H26" s="4"/>
      <c r="I26" s="4"/>
      <c r="J26" s="5"/>
      <c r="K26" s="5"/>
      <c r="L26" s="5"/>
      <c r="M26" s="5"/>
      <c r="N26" s="5"/>
    </row>
    <row r="27" spans="4:14" x14ac:dyDescent="0.25">
      <c r="D27" s="52"/>
      <c r="E27" s="33"/>
      <c r="F27" s="33"/>
      <c r="G27" s="35"/>
      <c r="H27" s="4"/>
      <c r="I27" s="4"/>
      <c r="J27" s="5"/>
      <c r="K27" s="5"/>
      <c r="L27" s="5"/>
      <c r="M27" s="5"/>
      <c r="N27" s="5"/>
    </row>
    <row r="28" spans="4:14" x14ac:dyDescent="0.25">
      <c r="D28" s="52"/>
      <c r="E28" s="33"/>
      <c r="F28" s="33"/>
      <c r="G28" s="35"/>
      <c r="H28" s="4"/>
      <c r="I28" s="4"/>
      <c r="J28" s="5"/>
      <c r="K28" s="5"/>
      <c r="L28" s="5"/>
      <c r="M28" s="5"/>
      <c r="N28" s="5"/>
    </row>
    <row r="29" spans="4:14" x14ac:dyDescent="0.25">
      <c r="D29" s="52"/>
      <c r="E29" s="33"/>
      <c r="F29" s="33"/>
      <c r="G29" s="35"/>
      <c r="H29" s="4"/>
      <c r="I29" s="4"/>
      <c r="J29" s="5"/>
      <c r="K29" s="5"/>
      <c r="L29" s="5"/>
      <c r="M29" s="5"/>
      <c r="N29" s="5"/>
    </row>
    <row r="30" spans="4:14" x14ac:dyDescent="0.25">
      <c r="D30" s="52"/>
      <c r="E30" s="33"/>
      <c r="F30" s="33"/>
      <c r="G30" s="35"/>
      <c r="H30" s="4"/>
      <c r="I30" s="4"/>
      <c r="J30" s="5"/>
      <c r="K30" s="5"/>
      <c r="L30" s="5"/>
      <c r="M30" s="5"/>
      <c r="N30" s="5"/>
    </row>
    <row r="31" spans="4:14" x14ac:dyDescent="0.25">
      <c r="D31" s="52"/>
      <c r="E31" s="33"/>
      <c r="F31" s="33"/>
      <c r="G31" s="35"/>
      <c r="H31" s="4"/>
      <c r="I31" s="4"/>
      <c r="J31" s="5"/>
      <c r="K31" s="5"/>
      <c r="L31" s="5"/>
      <c r="M31" s="5"/>
      <c r="N31" s="5"/>
    </row>
    <row r="32" spans="4:14" x14ac:dyDescent="0.25">
      <c r="D32" s="52"/>
      <c r="E32" s="33"/>
      <c r="F32" s="33"/>
      <c r="G32" s="35"/>
      <c r="H32" s="4"/>
      <c r="I32" s="4"/>
      <c r="J32" s="5"/>
      <c r="K32" s="5"/>
      <c r="L32" s="5"/>
      <c r="M32" s="5"/>
      <c r="N32" s="5"/>
    </row>
    <row r="33" spans="4:14" x14ac:dyDescent="0.25">
      <c r="D33" s="52"/>
      <c r="E33" s="33"/>
      <c r="F33" s="33"/>
      <c r="G33" s="35"/>
      <c r="H33" s="4"/>
      <c r="I33" s="4"/>
      <c r="J33" s="5"/>
      <c r="K33" s="5"/>
      <c r="L33" s="5"/>
      <c r="M33" s="5"/>
      <c r="N33" s="5"/>
    </row>
    <row r="34" spans="4:14" x14ac:dyDescent="0.25">
      <c r="D34" s="52"/>
      <c r="E34" s="33"/>
      <c r="F34" s="33"/>
      <c r="G34" s="35"/>
      <c r="H34" s="4"/>
      <c r="I34" s="4"/>
      <c r="J34" s="5"/>
      <c r="K34" s="5"/>
      <c r="L34" s="5"/>
      <c r="M34" s="5"/>
      <c r="N34" s="5"/>
    </row>
    <row r="35" spans="4:14" x14ac:dyDescent="0.25">
      <c r="D35" s="52"/>
      <c r="E35" s="33"/>
      <c r="F35" s="33"/>
      <c r="G35" s="35"/>
      <c r="H35" s="4"/>
      <c r="I35" s="4"/>
      <c r="J35" s="5"/>
      <c r="K35" s="5"/>
      <c r="L35" s="5"/>
      <c r="M35" s="5"/>
      <c r="N35" s="5"/>
    </row>
    <row r="36" spans="4:14" x14ac:dyDescent="0.25">
      <c r="D36" s="52"/>
      <c r="E36" s="33"/>
      <c r="F36" s="33"/>
      <c r="G36" s="35"/>
      <c r="H36" s="4"/>
      <c r="I36" s="4"/>
      <c r="J36" s="5"/>
      <c r="K36" s="5"/>
      <c r="L36" s="5"/>
      <c r="M36" s="5"/>
      <c r="N36" s="5"/>
    </row>
    <row r="37" spans="4:14" x14ac:dyDescent="0.25">
      <c r="D37" s="52"/>
      <c r="E37" s="33"/>
      <c r="F37" s="33"/>
      <c r="G37" s="35"/>
      <c r="H37" s="4"/>
      <c r="I37" s="4"/>
      <c r="J37" s="5"/>
      <c r="K37" s="5"/>
      <c r="L37" s="5"/>
      <c r="M37" s="5"/>
      <c r="N37" s="5"/>
    </row>
    <row r="38" spans="4:14" x14ac:dyDescent="0.25">
      <c r="D38" s="52"/>
      <c r="E38" s="33"/>
      <c r="F38" s="33"/>
      <c r="G38" s="35"/>
      <c r="H38" s="4"/>
      <c r="I38" s="4"/>
      <c r="J38" s="5"/>
      <c r="K38" s="5"/>
      <c r="L38" s="5"/>
      <c r="M38" s="5"/>
      <c r="N38" s="5"/>
    </row>
    <row r="39" spans="4:14" x14ac:dyDescent="0.25">
      <c r="D39" s="52"/>
      <c r="E39" s="33"/>
      <c r="F39" s="33"/>
      <c r="G39" s="35"/>
      <c r="H39" s="4"/>
      <c r="I39" s="4"/>
      <c r="J39" s="5"/>
      <c r="K39" s="5"/>
      <c r="L39" s="5"/>
      <c r="M39" s="5"/>
      <c r="N39" s="5"/>
    </row>
    <row r="40" spans="4:14" x14ac:dyDescent="0.25">
      <c r="D40" s="52"/>
      <c r="E40" s="33"/>
      <c r="F40" s="33"/>
      <c r="G40" s="35"/>
      <c r="H40" s="4"/>
      <c r="I40" s="4"/>
      <c r="J40" s="5"/>
      <c r="K40" s="5"/>
      <c r="L40" s="5"/>
      <c r="M40" s="5"/>
      <c r="N40" s="5"/>
    </row>
    <row r="41" spans="4:14" x14ac:dyDescent="0.25">
      <c r="D41" s="52"/>
      <c r="E41" s="33"/>
      <c r="F41" s="33"/>
      <c r="G41" s="35"/>
      <c r="H41" s="4"/>
      <c r="I41" s="4"/>
      <c r="J41" s="5"/>
      <c r="K41" s="5"/>
      <c r="L41" s="5"/>
      <c r="M41" s="5"/>
      <c r="N41" s="5"/>
    </row>
    <row r="42" spans="4:14" x14ac:dyDescent="0.25">
      <c r="D42" s="52"/>
      <c r="E42" s="33"/>
      <c r="F42" s="33"/>
      <c r="G42" s="35"/>
      <c r="H42" s="4"/>
      <c r="I42" s="4"/>
      <c r="J42" s="5"/>
      <c r="K42" s="5"/>
      <c r="L42" s="5"/>
      <c r="M42" s="5"/>
      <c r="N42" s="5"/>
    </row>
    <row r="43" spans="4:14" x14ac:dyDescent="0.25">
      <c r="D43" s="52"/>
      <c r="E43" s="33"/>
      <c r="F43" s="33"/>
      <c r="G43" s="35"/>
      <c r="H43" s="4"/>
      <c r="I43" s="4"/>
      <c r="J43" s="5"/>
      <c r="K43" s="5"/>
      <c r="L43" s="5"/>
      <c r="M43" s="5"/>
      <c r="N43" s="5"/>
    </row>
    <row r="44" spans="4:14" x14ac:dyDescent="0.25">
      <c r="D44" s="52"/>
      <c r="E44" s="33"/>
      <c r="F44" s="33"/>
      <c r="G44" s="35"/>
      <c r="H44" s="4"/>
      <c r="I44" s="4"/>
      <c r="J44" s="5"/>
      <c r="K44" s="5"/>
      <c r="L44" s="5"/>
      <c r="M44" s="5"/>
      <c r="N44" s="5"/>
    </row>
    <row r="45" spans="4:14" x14ac:dyDescent="0.25">
      <c r="D45" s="52"/>
      <c r="E45" s="33"/>
      <c r="F45" s="33"/>
      <c r="G45" s="35"/>
      <c r="H45" s="4"/>
      <c r="I45" s="4"/>
      <c r="J45" s="5"/>
      <c r="K45" s="5"/>
      <c r="L45" s="5"/>
      <c r="M45" s="5"/>
      <c r="N45" s="5"/>
    </row>
    <row r="46" spans="4:14" x14ac:dyDescent="0.25">
      <c r="D46" s="52"/>
      <c r="E46" s="33"/>
      <c r="F46" s="33"/>
      <c r="G46" s="35"/>
      <c r="H46" s="4"/>
      <c r="I46" s="4"/>
      <c r="J46" s="5"/>
      <c r="K46" s="5"/>
      <c r="L46" s="5"/>
      <c r="M46" s="5"/>
      <c r="N46" s="5"/>
    </row>
    <row r="47" spans="4:14" x14ac:dyDescent="0.25">
      <c r="D47" s="52"/>
      <c r="E47" s="33"/>
      <c r="F47" s="33"/>
      <c r="G47" s="35"/>
      <c r="H47" s="4"/>
      <c r="I47" s="4"/>
      <c r="J47" s="5"/>
      <c r="K47" s="5"/>
      <c r="L47" s="5"/>
      <c r="M47" s="5"/>
      <c r="N47" s="5"/>
    </row>
    <row r="48" spans="4:14" x14ac:dyDescent="0.25">
      <c r="D48" s="52"/>
      <c r="E48" s="33"/>
      <c r="F48" s="33"/>
      <c r="G48" s="35"/>
      <c r="H48" s="4"/>
      <c r="I48" s="4"/>
      <c r="J48" s="5"/>
      <c r="K48" s="5"/>
      <c r="L48" s="5"/>
      <c r="M48" s="5"/>
      <c r="N48" s="5"/>
    </row>
    <row r="49" spans="4:14" x14ac:dyDescent="0.25">
      <c r="D49" s="52"/>
      <c r="E49" s="33"/>
      <c r="F49" s="33"/>
      <c r="G49" s="35"/>
      <c r="H49" s="4"/>
      <c r="I49" s="4"/>
      <c r="J49" s="5"/>
      <c r="K49" s="5"/>
      <c r="L49" s="5"/>
      <c r="M49" s="5"/>
      <c r="N49" s="5"/>
    </row>
    <row r="50" spans="4:14" x14ac:dyDescent="0.25">
      <c r="D50" s="52"/>
      <c r="E50" s="33"/>
      <c r="F50" s="33"/>
      <c r="G50" s="35"/>
      <c r="H50" s="4"/>
      <c r="I50" s="4"/>
      <c r="J50" s="5"/>
      <c r="K50" s="5"/>
      <c r="L50" s="5"/>
      <c r="M50" s="5"/>
      <c r="N50" s="5"/>
    </row>
    <row r="51" spans="4:14" x14ac:dyDescent="0.25">
      <c r="D51" s="52"/>
      <c r="E51" s="33"/>
      <c r="F51" s="33"/>
      <c r="G51" s="35"/>
      <c r="H51" s="4"/>
      <c r="I51" s="4"/>
      <c r="J51" s="5"/>
      <c r="K51" s="5"/>
      <c r="L51" s="5"/>
      <c r="M51" s="5"/>
      <c r="N51" s="5"/>
    </row>
    <row r="52" spans="4:14" x14ac:dyDescent="0.25">
      <c r="D52" s="52"/>
      <c r="E52" s="33"/>
      <c r="F52" s="33"/>
      <c r="G52" s="35"/>
      <c r="H52" s="4"/>
      <c r="I52" s="4"/>
      <c r="J52" s="5"/>
      <c r="K52" s="5"/>
      <c r="L52" s="5"/>
      <c r="M52" s="5"/>
      <c r="N52" s="5"/>
    </row>
    <row r="53" spans="4:14" x14ac:dyDescent="0.25">
      <c r="D53" s="52"/>
      <c r="E53" s="33"/>
      <c r="F53" s="33"/>
      <c r="G53" s="35"/>
      <c r="H53" s="4"/>
      <c r="I53" s="4"/>
      <c r="J53" s="5"/>
      <c r="K53" s="5"/>
      <c r="L53" s="5"/>
      <c r="M53" s="5"/>
      <c r="N53" s="5"/>
    </row>
    <row r="54" spans="4:14" x14ac:dyDescent="0.25">
      <c r="D54" s="52"/>
      <c r="E54" s="33"/>
      <c r="F54" s="33"/>
      <c r="G54" s="35"/>
      <c r="H54" s="4"/>
      <c r="I54" s="4"/>
      <c r="J54" s="5"/>
      <c r="K54" s="5"/>
      <c r="L54" s="5"/>
      <c r="M54" s="5"/>
      <c r="N54" s="5"/>
    </row>
    <row r="55" spans="4:14" x14ac:dyDescent="0.25">
      <c r="D55" s="52"/>
      <c r="E55" s="33"/>
      <c r="F55" s="33"/>
      <c r="G55" s="35"/>
      <c r="H55" s="4"/>
      <c r="I55" s="4"/>
      <c r="J55" s="5"/>
      <c r="K55" s="5"/>
      <c r="L55" s="5"/>
      <c r="M55" s="5"/>
      <c r="N55" s="5"/>
    </row>
    <row r="56" spans="4:14" x14ac:dyDescent="0.25">
      <c r="D56" s="52"/>
      <c r="E56" s="33"/>
      <c r="F56" s="33"/>
      <c r="G56" s="35"/>
      <c r="H56" s="4"/>
      <c r="I56" s="4"/>
      <c r="J56" s="5"/>
      <c r="K56" s="5"/>
      <c r="L56" s="5"/>
      <c r="M56" s="5"/>
      <c r="N56" s="5"/>
    </row>
    <row r="57" spans="4:14" x14ac:dyDescent="0.25">
      <c r="D57" s="52"/>
      <c r="E57" s="33"/>
      <c r="F57" s="33"/>
      <c r="G57" s="35"/>
      <c r="H57" s="4"/>
      <c r="I57" s="4"/>
      <c r="J57" s="5"/>
      <c r="K57" s="5"/>
      <c r="L57" s="5"/>
      <c r="M57" s="5"/>
      <c r="N57" s="5"/>
    </row>
    <row r="58" spans="4:14" x14ac:dyDescent="0.25">
      <c r="D58" s="52"/>
      <c r="E58" s="33"/>
      <c r="F58" s="33"/>
      <c r="G58" s="35"/>
      <c r="H58" s="4"/>
      <c r="I58" s="4"/>
      <c r="J58" s="5"/>
      <c r="K58" s="5"/>
      <c r="L58" s="5"/>
      <c r="M58" s="5"/>
      <c r="N58" s="5"/>
    </row>
    <row r="59" spans="4:14" x14ac:dyDescent="0.25">
      <c r="D59" s="52"/>
      <c r="E59" s="33"/>
      <c r="F59" s="33"/>
      <c r="G59" s="35"/>
      <c r="H59" s="4"/>
      <c r="I59" s="4"/>
      <c r="J59" s="5"/>
      <c r="K59" s="5"/>
      <c r="L59" s="5"/>
      <c r="M59" s="5"/>
      <c r="N59" s="5"/>
    </row>
    <row r="60" spans="4:14" x14ac:dyDescent="0.25">
      <c r="D60" s="52"/>
      <c r="E60" s="33"/>
      <c r="F60" s="33"/>
      <c r="G60" s="35"/>
      <c r="H60" s="4"/>
      <c r="I60" s="4"/>
      <c r="J60" s="5"/>
      <c r="K60" s="5"/>
      <c r="L60" s="5"/>
      <c r="M60" s="5"/>
      <c r="N60" s="5"/>
    </row>
    <row r="61" spans="4:14" x14ac:dyDescent="0.25">
      <c r="D61" s="52"/>
      <c r="E61" s="33"/>
      <c r="F61" s="33"/>
      <c r="G61" s="35"/>
      <c r="H61" s="4"/>
      <c r="I61" s="4"/>
      <c r="J61" s="5"/>
      <c r="K61" s="5"/>
      <c r="L61" s="5"/>
      <c r="M61" s="5"/>
      <c r="N61" s="5"/>
    </row>
    <row r="62" spans="4:14" x14ac:dyDescent="0.25">
      <c r="D62" s="52"/>
      <c r="E62" s="33"/>
      <c r="F62" s="33"/>
      <c r="G62" s="35"/>
      <c r="H62" s="4"/>
      <c r="I62" s="4"/>
      <c r="J62" s="5"/>
      <c r="K62" s="5"/>
      <c r="L62" s="5"/>
      <c r="M62" s="5"/>
      <c r="N62" s="5"/>
    </row>
    <row r="63" spans="4:14" x14ac:dyDescent="0.25">
      <c r="D63" s="52"/>
      <c r="E63" s="33"/>
      <c r="F63" s="33"/>
      <c r="G63" s="35"/>
      <c r="H63" s="4"/>
      <c r="I63" s="4"/>
      <c r="J63" s="5"/>
      <c r="K63" s="5"/>
      <c r="L63" s="5"/>
      <c r="M63" s="5"/>
      <c r="N63" s="5"/>
    </row>
    <row r="64" spans="4:14" x14ac:dyDescent="0.25">
      <c r="D64" s="52"/>
      <c r="E64" s="33"/>
      <c r="F64" s="33"/>
      <c r="G64" s="35"/>
      <c r="H64" s="4"/>
      <c r="I64" s="4"/>
      <c r="J64" s="5"/>
      <c r="K64" s="5"/>
      <c r="L64" s="5"/>
      <c r="M64" s="5"/>
      <c r="N64" s="5"/>
    </row>
    <row r="65" spans="4:14" x14ac:dyDescent="0.25">
      <c r="D65" s="52"/>
      <c r="E65" s="33"/>
      <c r="F65" s="33"/>
      <c r="G65" s="35"/>
      <c r="H65" s="4"/>
      <c r="I65" s="4"/>
      <c r="J65" s="5"/>
      <c r="K65" s="5"/>
      <c r="L65" s="5"/>
      <c r="M65" s="5"/>
      <c r="N65" s="5"/>
    </row>
    <row r="66" spans="4:14" x14ac:dyDescent="0.25">
      <c r="D66" s="52"/>
      <c r="E66" s="33"/>
      <c r="F66" s="33"/>
      <c r="G66" s="35"/>
      <c r="H66" s="4"/>
      <c r="I66" s="4"/>
      <c r="J66" s="5"/>
      <c r="K66" s="5"/>
      <c r="L66" s="5"/>
      <c r="M66" s="5"/>
      <c r="N66" s="5"/>
    </row>
    <row r="67" spans="4:14" x14ac:dyDescent="0.25">
      <c r="D67" s="52"/>
      <c r="E67" s="33"/>
      <c r="F67" s="33"/>
      <c r="G67" s="35"/>
      <c r="H67" s="4"/>
      <c r="I67" s="4"/>
      <c r="J67" s="5"/>
      <c r="K67" s="5"/>
      <c r="L67" s="5"/>
      <c r="M67" s="5"/>
      <c r="N67" s="5"/>
    </row>
    <row r="68" spans="4:14" x14ac:dyDescent="0.25">
      <c r="D68" s="52"/>
      <c r="E68" s="33"/>
      <c r="F68" s="33"/>
      <c r="G68" s="35"/>
      <c r="H68" s="4"/>
      <c r="I68" s="4"/>
      <c r="J68" s="5"/>
      <c r="K68" s="5"/>
      <c r="L68" s="5"/>
      <c r="M68" s="5"/>
      <c r="N68" s="5"/>
    </row>
    <row r="69" spans="4:14" x14ac:dyDescent="0.25">
      <c r="D69" s="52"/>
      <c r="E69" s="33"/>
      <c r="F69" s="33"/>
      <c r="G69" s="35"/>
      <c r="H69" s="4"/>
      <c r="I69" s="4"/>
      <c r="J69" s="5"/>
      <c r="K69" s="5"/>
      <c r="L69" s="5"/>
      <c r="M69" s="5"/>
      <c r="N69" s="5"/>
    </row>
    <row r="70" spans="4:14" x14ac:dyDescent="0.25">
      <c r="D70" s="52"/>
      <c r="E70" s="33"/>
      <c r="F70" s="33"/>
      <c r="G70" s="35"/>
      <c r="H70" s="4"/>
      <c r="I70" s="4"/>
      <c r="J70" s="5"/>
      <c r="K70" s="5"/>
      <c r="L70" s="5"/>
      <c r="M70" s="5"/>
      <c r="N70" s="5"/>
    </row>
    <row r="71" spans="4:14" x14ac:dyDescent="0.25">
      <c r="D71" s="52"/>
      <c r="E71" s="33"/>
      <c r="F71" s="33"/>
      <c r="G71" s="35"/>
      <c r="H71" s="4"/>
      <c r="I71" s="4"/>
      <c r="J71" s="5"/>
      <c r="K71" s="5"/>
      <c r="L71" s="5"/>
      <c r="M71" s="5"/>
      <c r="N71" s="5"/>
    </row>
    <row r="72" spans="4:14" x14ac:dyDescent="0.25">
      <c r="D72" s="52"/>
      <c r="E72" s="33"/>
      <c r="F72" s="33"/>
      <c r="G72" s="35"/>
      <c r="H72" s="4"/>
      <c r="I72" s="4"/>
      <c r="J72" s="5"/>
      <c r="K72" s="5"/>
      <c r="L72" s="5"/>
      <c r="M72" s="5"/>
      <c r="N72" s="5"/>
    </row>
    <row r="73" spans="4:14" x14ac:dyDescent="0.25">
      <c r="D73" s="52"/>
      <c r="E73" s="33"/>
      <c r="F73" s="33"/>
      <c r="G73" s="35"/>
      <c r="H73" s="4"/>
      <c r="I73" s="4"/>
      <c r="J73" s="5"/>
      <c r="K73" s="5"/>
      <c r="L73" s="5"/>
      <c r="M73" s="5"/>
      <c r="N73" s="5"/>
    </row>
    <row r="74" spans="4:14" x14ac:dyDescent="0.25">
      <c r="D74" s="52"/>
      <c r="E74" s="33"/>
      <c r="F74" s="33"/>
      <c r="G74" s="35"/>
      <c r="H74" s="4"/>
      <c r="I74" s="4"/>
      <c r="J74" s="5"/>
      <c r="K74" s="5"/>
      <c r="L74" s="5"/>
      <c r="M74" s="5"/>
      <c r="N74" s="5"/>
    </row>
    <row r="75" spans="4:14" x14ac:dyDescent="0.25">
      <c r="D75" s="52"/>
      <c r="E75" s="33"/>
      <c r="F75" s="33"/>
      <c r="G75" s="35"/>
      <c r="H75" s="4"/>
      <c r="I75" s="4"/>
      <c r="J75" s="5"/>
      <c r="K75" s="5"/>
      <c r="L75" s="5"/>
      <c r="M75" s="5"/>
      <c r="N75" s="5"/>
    </row>
    <row r="76" spans="4:14" x14ac:dyDescent="0.25">
      <c r="D76" s="52"/>
      <c r="E76" s="33"/>
      <c r="F76" s="33"/>
      <c r="G76" s="35"/>
      <c r="H76" s="4"/>
      <c r="I76" s="4"/>
      <c r="J76" s="5"/>
      <c r="K76" s="5"/>
      <c r="L76" s="5"/>
      <c r="M76" s="5"/>
      <c r="N76" s="5"/>
    </row>
    <row r="77" spans="4:14" x14ac:dyDescent="0.25">
      <c r="D77" s="52"/>
      <c r="E77" s="33"/>
      <c r="F77" s="33"/>
      <c r="G77" s="35"/>
      <c r="H77" s="4"/>
      <c r="I77" s="4"/>
      <c r="J77" s="5"/>
      <c r="K77" s="5"/>
      <c r="L77" s="5"/>
      <c r="M77" s="5"/>
      <c r="N77" s="5"/>
    </row>
    <row r="78" spans="4:14" x14ac:dyDescent="0.25">
      <c r="D78" s="52"/>
      <c r="E78" s="33"/>
      <c r="F78" s="33"/>
      <c r="G78" s="35"/>
      <c r="H78" s="4"/>
      <c r="I78" s="4"/>
      <c r="J78" s="5"/>
      <c r="K78" s="5"/>
      <c r="L78" s="5"/>
      <c r="M78" s="5"/>
      <c r="N78" s="5"/>
    </row>
    <row r="79" spans="4:14" x14ac:dyDescent="0.25">
      <c r="D79" s="52"/>
      <c r="E79" s="33"/>
      <c r="F79" s="33"/>
      <c r="G79" s="35"/>
      <c r="H79" s="4"/>
      <c r="I79" s="4"/>
      <c r="J79" s="5"/>
      <c r="K79" s="5"/>
      <c r="L79" s="5"/>
      <c r="M79" s="5"/>
      <c r="N79" s="5"/>
    </row>
    <row r="80" spans="4:14" x14ac:dyDescent="0.25">
      <c r="D80" s="52"/>
      <c r="E80" s="33"/>
      <c r="F80" s="33"/>
      <c r="G80" s="35"/>
      <c r="H80" s="4"/>
      <c r="I80" s="4"/>
      <c r="J80" s="5"/>
      <c r="K80" s="5"/>
      <c r="L80" s="5"/>
      <c r="M80" s="5"/>
      <c r="N80" s="5"/>
    </row>
    <row r="81" spans="4:14" x14ac:dyDescent="0.25">
      <c r="D81" s="52"/>
      <c r="E81" s="33"/>
      <c r="F81" s="33"/>
      <c r="G81" s="35"/>
      <c r="H81" s="4"/>
      <c r="I81" s="4"/>
      <c r="J81" s="5"/>
      <c r="K81" s="5"/>
      <c r="L81" s="5"/>
      <c r="M81" s="5"/>
      <c r="N81" s="5"/>
    </row>
    <row r="82" spans="4:14" x14ac:dyDescent="0.25">
      <c r="D82" s="52"/>
      <c r="E82" s="33"/>
      <c r="F82" s="33"/>
      <c r="G82" s="35"/>
      <c r="H82" s="4"/>
      <c r="I82" s="4"/>
      <c r="J82" s="5"/>
      <c r="K82" s="5"/>
      <c r="L82" s="5"/>
      <c r="M82" s="5"/>
      <c r="N82" s="5"/>
    </row>
    <row r="83" spans="4:14" x14ac:dyDescent="0.25">
      <c r="D83" s="52"/>
      <c r="E83" s="33"/>
      <c r="F83" s="33"/>
      <c r="G83" s="35"/>
      <c r="H83" s="4"/>
      <c r="I83" s="4"/>
      <c r="J83" s="5"/>
      <c r="K83" s="5"/>
      <c r="L83" s="5"/>
      <c r="M83" s="5"/>
      <c r="N83" s="5"/>
    </row>
    <row r="84" spans="4:14" x14ac:dyDescent="0.25">
      <c r="D84" s="52"/>
      <c r="E84" s="33"/>
      <c r="F84" s="33"/>
      <c r="G84" s="35"/>
      <c r="H84" s="4"/>
      <c r="I84" s="4"/>
      <c r="J84" s="5"/>
      <c r="K84" s="5"/>
      <c r="L84" s="5"/>
      <c r="M84" s="5"/>
      <c r="N84" s="5"/>
    </row>
    <row r="85" spans="4:14" x14ac:dyDescent="0.25">
      <c r="D85" s="52"/>
      <c r="E85" s="33"/>
      <c r="F85" s="33"/>
      <c r="G85" s="35"/>
      <c r="H85" s="4"/>
      <c r="I85" s="4"/>
      <c r="J85" s="5"/>
      <c r="K85" s="5"/>
      <c r="L85" s="5"/>
      <c r="M85" s="5"/>
      <c r="N85" s="5"/>
    </row>
    <row r="86" spans="4:14" x14ac:dyDescent="0.25">
      <c r="D86" s="52"/>
      <c r="E86" s="33"/>
      <c r="F86" s="33"/>
      <c r="G86" s="35"/>
      <c r="H86" s="4"/>
      <c r="I86" s="4"/>
      <c r="J86" s="5"/>
      <c r="K86" s="5"/>
      <c r="L86" s="5"/>
      <c r="M86" s="5"/>
      <c r="N86" s="5"/>
    </row>
    <row r="87" spans="4:14" x14ac:dyDescent="0.25">
      <c r="D87" s="52"/>
      <c r="E87" s="33"/>
      <c r="F87" s="33"/>
      <c r="G87" s="35"/>
      <c r="H87" s="4"/>
      <c r="I87" s="4"/>
      <c r="J87" s="5"/>
      <c r="K87" s="5"/>
      <c r="L87" s="5"/>
      <c r="M87" s="5"/>
      <c r="N87" s="5"/>
    </row>
    <row r="88" spans="4:14" x14ac:dyDescent="0.25">
      <c r="D88" s="52"/>
      <c r="E88" s="33"/>
      <c r="F88" s="33"/>
      <c r="G88" s="35"/>
      <c r="H88" s="4"/>
      <c r="I88" s="4"/>
      <c r="J88" s="5"/>
      <c r="K88" s="5"/>
      <c r="L88" s="5"/>
      <c r="M88" s="5"/>
      <c r="N88" s="5"/>
    </row>
    <row r="89" spans="4:14" x14ac:dyDescent="0.25">
      <c r="D89" s="52"/>
      <c r="E89" s="33"/>
      <c r="F89" s="33"/>
      <c r="G89" s="35"/>
      <c r="H89" s="4"/>
      <c r="I89" s="4"/>
      <c r="J89" s="5"/>
      <c r="K89" s="5"/>
      <c r="L89" s="5"/>
      <c r="M89" s="5"/>
      <c r="N89" s="5"/>
    </row>
    <row r="90" spans="4:14" x14ac:dyDescent="0.25">
      <c r="D90" s="52"/>
      <c r="E90" s="33"/>
      <c r="F90" s="33"/>
      <c r="G90" s="35"/>
      <c r="H90" s="4"/>
      <c r="I90" s="4"/>
      <c r="J90" s="5"/>
      <c r="K90" s="5"/>
      <c r="L90" s="5"/>
      <c r="M90" s="5"/>
      <c r="N90" s="5"/>
    </row>
    <row r="91" spans="4:14" x14ac:dyDescent="0.25">
      <c r="D91" s="52"/>
      <c r="E91" s="33"/>
      <c r="F91" s="33"/>
      <c r="G91" s="35"/>
      <c r="H91" s="4"/>
      <c r="I91" s="4"/>
      <c r="J91" s="5"/>
      <c r="K91" s="5"/>
      <c r="L91" s="5"/>
      <c r="M91" s="5"/>
      <c r="N91" s="5"/>
    </row>
    <row r="92" spans="4:14" x14ac:dyDescent="0.25">
      <c r="D92" s="52"/>
      <c r="E92" s="33"/>
      <c r="F92" s="33"/>
      <c r="G92" s="35"/>
      <c r="H92" s="4"/>
      <c r="I92" s="4"/>
      <c r="J92" s="5"/>
      <c r="K92" s="5"/>
      <c r="L92" s="5"/>
      <c r="M92" s="5"/>
      <c r="N92" s="5"/>
    </row>
    <row r="93" spans="4:14" x14ac:dyDescent="0.25">
      <c r="D93" s="52"/>
      <c r="E93" s="33"/>
      <c r="F93" s="33"/>
      <c r="G93" s="35"/>
      <c r="H93" s="4"/>
      <c r="I93" s="4"/>
      <c r="J93" s="5"/>
      <c r="K93" s="5"/>
      <c r="L93" s="5"/>
      <c r="M93" s="5"/>
      <c r="N93" s="5"/>
    </row>
    <row r="94" spans="4:14" x14ac:dyDescent="0.25">
      <c r="D94" s="52"/>
      <c r="E94" s="33"/>
      <c r="F94" s="33"/>
      <c r="G94" s="35"/>
      <c r="H94" s="4"/>
      <c r="I94" s="4"/>
      <c r="J94" s="5"/>
      <c r="K94" s="5"/>
      <c r="L94" s="5"/>
      <c r="M94" s="5"/>
      <c r="N94" s="5"/>
    </row>
    <row r="95" spans="4:14" x14ac:dyDescent="0.25">
      <c r="D95" s="52"/>
      <c r="E95" s="33"/>
      <c r="F95" s="33"/>
      <c r="G95" s="35"/>
      <c r="H95" s="4"/>
      <c r="I95" s="4"/>
      <c r="J95" s="5"/>
      <c r="K95" s="5"/>
      <c r="L95" s="5"/>
      <c r="M95" s="5"/>
      <c r="N95" s="5"/>
    </row>
    <row r="96" spans="4:14" x14ac:dyDescent="0.25">
      <c r="D96" s="52"/>
      <c r="E96" s="33"/>
      <c r="F96" s="33"/>
      <c r="G96" s="35"/>
      <c r="H96" s="4"/>
      <c r="I96" s="4"/>
      <c r="J96" s="5"/>
      <c r="K96" s="5"/>
      <c r="L96" s="5"/>
      <c r="M96" s="5"/>
      <c r="N96" s="5"/>
    </row>
    <row r="97" spans="4:14" x14ac:dyDescent="0.25">
      <c r="D97" s="52"/>
      <c r="E97" s="33"/>
      <c r="F97" s="33"/>
      <c r="G97" s="35"/>
      <c r="H97" s="4"/>
      <c r="I97" s="4"/>
      <c r="J97" s="5"/>
      <c r="K97" s="5"/>
      <c r="L97" s="5"/>
      <c r="M97" s="5"/>
      <c r="N97" s="5"/>
    </row>
    <row r="98" spans="4:14" x14ac:dyDescent="0.25">
      <c r="D98" s="52"/>
      <c r="E98" s="33"/>
      <c r="F98" s="33"/>
      <c r="G98" s="35"/>
      <c r="H98" s="4"/>
      <c r="I98" s="4"/>
      <c r="J98" s="5"/>
      <c r="K98" s="5"/>
      <c r="L98" s="5"/>
      <c r="M98" s="5"/>
      <c r="N98" s="5"/>
    </row>
    <row r="99" spans="4:14" x14ac:dyDescent="0.25">
      <c r="D99" s="52"/>
      <c r="E99" s="33"/>
      <c r="F99" s="33"/>
      <c r="G99" s="35"/>
      <c r="H99" s="4"/>
      <c r="I99" s="4"/>
      <c r="J99" s="5"/>
      <c r="K99" s="5"/>
      <c r="L99" s="5"/>
      <c r="M99" s="5"/>
      <c r="N99" s="5"/>
    </row>
    <row r="100" spans="4:14" x14ac:dyDescent="0.25">
      <c r="D100" s="52"/>
      <c r="E100" s="33"/>
      <c r="F100" s="33"/>
      <c r="G100" s="35"/>
      <c r="H100" s="4"/>
      <c r="I100" s="4"/>
      <c r="J100" s="5"/>
      <c r="K100" s="5"/>
      <c r="L100" s="5"/>
      <c r="M100" s="5"/>
      <c r="N100" s="5"/>
    </row>
    <row r="101" spans="4:14" x14ac:dyDescent="0.25">
      <c r="D101" s="52"/>
      <c r="E101" s="33"/>
      <c r="F101" s="33"/>
      <c r="G101" s="35"/>
      <c r="H101" s="4"/>
      <c r="I101" s="4"/>
      <c r="J101" s="5"/>
      <c r="K101" s="5"/>
      <c r="L101" s="5"/>
      <c r="M101" s="5"/>
      <c r="N101" s="5"/>
    </row>
    <row r="102" spans="4:14" x14ac:dyDescent="0.25">
      <c r="D102" s="52"/>
      <c r="E102" s="33"/>
      <c r="F102" s="33"/>
      <c r="G102" s="35"/>
      <c r="H102" s="4"/>
      <c r="I102" s="4"/>
      <c r="J102" s="5"/>
      <c r="K102" s="5"/>
      <c r="L102" s="5"/>
      <c r="M102" s="5"/>
      <c r="N102" s="5"/>
    </row>
    <row r="103" spans="4:14" x14ac:dyDescent="0.25">
      <c r="D103" s="52"/>
      <c r="E103" s="33"/>
      <c r="F103" s="33"/>
      <c r="G103" s="35"/>
      <c r="H103" s="4"/>
      <c r="I103" s="4"/>
      <c r="J103" s="5"/>
      <c r="K103" s="5"/>
      <c r="L103" s="5"/>
      <c r="M103" s="5"/>
      <c r="N103" s="5"/>
    </row>
    <row r="104" spans="4:14" x14ac:dyDescent="0.25">
      <c r="D104" s="52"/>
      <c r="E104" s="33"/>
      <c r="F104" s="33"/>
      <c r="G104" s="35"/>
      <c r="H104" s="4"/>
      <c r="I104" s="4"/>
      <c r="J104" s="5"/>
      <c r="K104" s="5"/>
      <c r="L104" s="5"/>
      <c r="M104" s="5"/>
      <c r="N104" s="5"/>
    </row>
    <row r="105" spans="4:14" x14ac:dyDescent="0.25">
      <c r="D105" s="52"/>
      <c r="E105" s="33"/>
      <c r="F105" s="33"/>
      <c r="G105" s="35"/>
      <c r="H105" s="4"/>
      <c r="I105" s="4"/>
      <c r="J105" s="5"/>
      <c r="K105" s="5"/>
      <c r="L105" s="5"/>
      <c r="M105" s="5"/>
      <c r="N105" s="5"/>
    </row>
    <row r="106" spans="4:14" x14ac:dyDescent="0.25">
      <c r="D106" s="52"/>
      <c r="E106" s="33"/>
      <c r="F106" s="33"/>
      <c r="G106" s="35"/>
      <c r="H106" s="4"/>
      <c r="I106" s="4"/>
      <c r="J106" s="5"/>
      <c r="K106" s="5"/>
      <c r="L106" s="5"/>
      <c r="M106" s="5"/>
      <c r="N106" s="5"/>
    </row>
    <row r="107" spans="4:14" x14ac:dyDescent="0.25">
      <c r="D107" s="52"/>
      <c r="E107" s="33"/>
      <c r="F107" s="33"/>
      <c r="G107" s="35"/>
      <c r="H107" s="4"/>
      <c r="I107" s="4"/>
      <c r="J107" s="5"/>
      <c r="K107" s="5"/>
      <c r="L107" s="5"/>
      <c r="M107" s="5"/>
      <c r="N107" s="5"/>
    </row>
    <row r="108" spans="4:14" x14ac:dyDescent="0.25">
      <c r="D108" s="52"/>
      <c r="E108" s="33"/>
      <c r="F108" s="33"/>
      <c r="G108" s="35"/>
      <c r="H108" s="4"/>
      <c r="I108" s="4"/>
      <c r="J108" s="5"/>
      <c r="K108" s="5"/>
      <c r="L108" s="5"/>
      <c r="M108" s="5"/>
      <c r="N108" s="5"/>
    </row>
    <row r="109" spans="4:14" x14ac:dyDescent="0.25">
      <c r="D109" s="52"/>
      <c r="E109" s="33"/>
      <c r="F109" s="33"/>
      <c r="G109" s="35"/>
      <c r="H109" s="4"/>
      <c r="I109" s="4"/>
      <c r="J109" s="5"/>
      <c r="K109" s="5"/>
      <c r="L109" s="5"/>
      <c r="M109" s="5"/>
      <c r="N109" s="5"/>
    </row>
    <row r="110" spans="4:14" x14ac:dyDescent="0.25">
      <c r="D110" s="52"/>
      <c r="E110" s="33"/>
      <c r="F110" s="33"/>
      <c r="G110" s="35"/>
      <c r="H110" s="4"/>
      <c r="I110" s="4"/>
      <c r="J110" s="5"/>
      <c r="K110" s="5"/>
      <c r="L110" s="5"/>
      <c r="M110" s="5"/>
      <c r="N110" s="5"/>
    </row>
    <row r="111" spans="4:14" x14ac:dyDescent="0.25">
      <c r="D111" s="52"/>
      <c r="E111" s="33"/>
      <c r="F111" s="33"/>
      <c r="G111" s="35"/>
      <c r="H111" s="4"/>
      <c r="I111" s="4"/>
      <c r="J111" s="5"/>
      <c r="K111" s="5"/>
      <c r="L111" s="5"/>
      <c r="M111" s="5"/>
      <c r="N111" s="5"/>
    </row>
    <row r="112" spans="4:14" x14ac:dyDescent="0.25">
      <c r="D112" s="52"/>
      <c r="E112" s="33"/>
      <c r="F112" s="33"/>
      <c r="G112" s="35"/>
      <c r="H112" s="4"/>
      <c r="I112" s="4"/>
      <c r="J112" s="5"/>
      <c r="K112" s="5"/>
      <c r="L112" s="5"/>
      <c r="M112" s="5"/>
      <c r="N112" s="5"/>
    </row>
    <row r="113" spans="4:14" x14ac:dyDescent="0.25">
      <c r="D113" s="52"/>
      <c r="E113" s="33"/>
      <c r="F113" s="33"/>
      <c r="G113" s="35"/>
      <c r="H113" s="4"/>
      <c r="I113" s="4"/>
      <c r="J113" s="5"/>
      <c r="K113" s="5"/>
      <c r="L113" s="5"/>
      <c r="M113" s="5"/>
      <c r="N113" s="5"/>
    </row>
    <row r="114" spans="4:14" x14ac:dyDescent="0.25">
      <c r="D114" s="52"/>
      <c r="E114" s="33"/>
      <c r="F114" s="33"/>
      <c r="G114" s="35"/>
      <c r="H114" s="4"/>
      <c r="I114" s="4"/>
      <c r="J114" s="5"/>
      <c r="K114" s="5"/>
      <c r="L114" s="5"/>
      <c r="M114" s="5"/>
      <c r="N114" s="5"/>
    </row>
    <row r="115" spans="4:14" x14ac:dyDescent="0.25">
      <c r="D115" s="52"/>
      <c r="E115" s="33"/>
      <c r="F115" s="33"/>
      <c r="G115" s="35"/>
      <c r="H115" s="4"/>
      <c r="I115" s="4"/>
      <c r="J115" s="5"/>
      <c r="K115" s="5"/>
      <c r="L115" s="5"/>
      <c r="M115" s="5"/>
      <c r="N115" s="5"/>
    </row>
    <row r="116" spans="4:14" x14ac:dyDescent="0.25">
      <c r="D116" s="52"/>
      <c r="E116" s="33"/>
      <c r="F116" s="33"/>
      <c r="G116" s="35"/>
      <c r="H116" s="4"/>
      <c r="I116" s="4"/>
      <c r="J116" s="5"/>
      <c r="K116" s="5"/>
      <c r="L116" s="5"/>
      <c r="M116" s="5"/>
      <c r="N116" s="5"/>
    </row>
    <row r="117" spans="4:14" x14ac:dyDescent="0.25">
      <c r="D117" s="52"/>
      <c r="E117" s="33"/>
      <c r="F117" s="33"/>
      <c r="G117" s="35"/>
      <c r="H117" s="4"/>
      <c r="I117" s="4"/>
      <c r="J117" s="5"/>
      <c r="K117" s="5"/>
      <c r="L117" s="5"/>
      <c r="M117" s="5"/>
      <c r="N117" s="5"/>
    </row>
    <row r="118" spans="4:14" x14ac:dyDescent="0.25">
      <c r="D118" s="52"/>
      <c r="E118" s="33"/>
      <c r="F118" s="33"/>
      <c r="G118" s="35"/>
      <c r="H118" s="4"/>
      <c r="I118" s="4"/>
      <c r="J118" s="5"/>
      <c r="K118" s="5"/>
      <c r="L118" s="5"/>
      <c r="M118" s="5"/>
      <c r="N118" s="5"/>
    </row>
    <row r="119" spans="4:14" x14ac:dyDescent="0.25">
      <c r="D119" s="52"/>
      <c r="E119" s="33"/>
      <c r="F119" s="33"/>
      <c r="G119" s="35"/>
      <c r="H119" s="4"/>
      <c r="I119" s="4"/>
      <c r="J119" s="5"/>
      <c r="K119" s="5"/>
      <c r="L119" s="5"/>
      <c r="M119" s="5"/>
      <c r="N119" s="5"/>
    </row>
    <row r="120" spans="4:14" x14ac:dyDescent="0.25">
      <c r="D120" s="52"/>
      <c r="E120" s="33"/>
      <c r="F120" s="33"/>
      <c r="G120" s="35"/>
      <c r="H120" s="4"/>
      <c r="I120" s="4"/>
      <c r="J120" s="5"/>
      <c r="K120" s="5"/>
      <c r="L120" s="5"/>
      <c r="M120" s="5"/>
      <c r="N120" s="5"/>
    </row>
    <row r="121" spans="4:14" x14ac:dyDescent="0.25">
      <c r="D121" s="52"/>
      <c r="E121" s="33"/>
      <c r="F121" s="33"/>
      <c r="G121" s="35"/>
      <c r="H121" s="4"/>
      <c r="I121" s="4"/>
      <c r="J121" s="5"/>
      <c r="K121" s="5"/>
      <c r="L121" s="5"/>
      <c r="M121" s="5"/>
      <c r="N121" s="5"/>
    </row>
    <row r="122" spans="4:14" x14ac:dyDescent="0.25">
      <c r="D122" s="52"/>
      <c r="E122" s="33"/>
      <c r="F122" s="33"/>
      <c r="G122" s="35"/>
      <c r="H122" s="4"/>
      <c r="I122" s="4"/>
      <c r="J122" s="5"/>
      <c r="K122" s="5"/>
      <c r="L122" s="5"/>
      <c r="M122" s="5"/>
      <c r="N122" s="5"/>
    </row>
    <row r="123" spans="4:14" x14ac:dyDescent="0.25">
      <c r="D123" s="52"/>
      <c r="E123" s="33"/>
      <c r="F123" s="33"/>
      <c r="G123" s="35"/>
      <c r="H123" s="4"/>
      <c r="I123" s="4"/>
      <c r="J123" s="5"/>
      <c r="K123" s="5"/>
      <c r="L123" s="5"/>
      <c r="M123" s="5"/>
      <c r="N123" s="5"/>
    </row>
    <row r="124" spans="4:14" x14ac:dyDescent="0.25">
      <c r="D124" s="52"/>
      <c r="E124" s="33"/>
      <c r="F124" s="33"/>
      <c r="G124" s="35"/>
      <c r="H124" s="4"/>
      <c r="I124" s="4"/>
      <c r="J124" s="5"/>
      <c r="K124" s="5"/>
      <c r="L124" s="5"/>
      <c r="M124" s="5"/>
      <c r="N124" s="5"/>
    </row>
    <row r="125" spans="4:14" x14ac:dyDescent="0.25">
      <c r="D125" s="52"/>
      <c r="E125" s="33"/>
      <c r="F125" s="33"/>
      <c r="G125" s="35"/>
      <c r="H125" s="4"/>
      <c r="I125" s="4"/>
      <c r="J125" s="5"/>
      <c r="K125" s="5"/>
      <c r="L125" s="5"/>
      <c r="M125" s="5"/>
      <c r="N125" s="5"/>
    </row>
    <row r="126" spans="4:14" x14ac:dyDescent="0.25">
      <c r="D126" s="52"/>
      <c r="E126" s="33"/>
      <c r="F126" s="33"/>
      <c r="G126" s="35"/>
      <c r="H126" s="4"/>
      <c r="I126" s="4"/>
      <c r="J126" s="5"/>
      <c r="K126" s="5"/>
      <c r="L126" s="5"/>
      <c r="M126" s="5"/>
      <c r="N126" s="5"/>
    </row>
    <row r="127" spans="4:14" x14ac:dyDescent="0.25">
      <c r="D127" s="52"/>
      <c r="E127" s="33"/>
      <c r="F127" s="33"/>
      <c r="G127" s="35"/>
      <c r="H127" s="4"/>
      <c r="I127" s="4"/>
      <c r="J127" s="5"/>
      <c r="K127" s="5"/>
      <c r="L127" s="5"/>
      <c r="M127" s="5"/>
      <c r="N127" s="5"/>
    </row>
    <row r="128" spans="4:14" x14ac:dyDescent="0.25">
      <c r="D128" s="52"/>
      <c r="E128" s="33"/>
      <c r="F128" s="33"/>
      <c r="G128" s="35"/>
      <c r="H128" s="4"/>
      <c r="I128" s="4"/>
      <c r="J128" s="5"/>
      <c r="K128" s="5"/>
      <c r="L128" s="5"/>
      <c r="M128" s="5"/>
      <c r="N128" s="5"/>
    </row>
    <row r="129" spans="4:14" x14ac:dyDescent="0.25">
      <c r="D129" s="52"/>
      <c r="E129" s="33"/>
      <c r="F129" s="33"/>
      <c r="G129" s="35"/>
      <c r="H129" s="4"/>
      <c r="I129" s="4"/>
      <c r="J129" s="5"/>
      <c r="K129" s="5"/>
      <c r="L129" s="5"/>
      <c r="M129" s="5"/>
      <c r="N129" s="5"/>
    </row>
    <row r="130" spans="4:14" x14ac:dyDescent="0.25">
      <c r="D130" s="52"/>
      <c r="E130" s="33"/>
      <c r="F130" s="33"/>
      <c r="G130" s="35"/>
      <c r="H130" s="4"/>
      <c r="I130" s="4"/>
      <c r="J130" s="5"/>
      <c r="K130" s="5"/>
      <c r="L130" s="5"/>
      <c r="M130" s="5"/>
      <c r="N130" s="5"/>
    </row>
    <row r="131" spans="4:14" x14ac:dyDescent="0.25">
      <c r="D131" s="52"/>
      <c r="E131" s="33"/>
      <c r="F131" s="33"/>
      <c r="G131" s="35"/>
      <c r="H131" s="4"/>
      <c r="I131" s="4"/>
      <c r="J131" s="5"/>
      <c r="K131" s="5"/>
      <c r="L131" s="5"/>
      <c r="M131" s="5"/>
      <c r="N131" s="5"/>
    </row>
    <row r="132" spans="4:14" x14ac:dyDescent="0.25">
      <c r="D132" s="52"/>
      <c r="E132" s="33"/>
      <c r="F132" s="33"/>
      <c r="G132" s="35"/>
      <c r="H132" s="4"/>
      <c r="I132" s="4"/>
      <c r="J132" s="5"/>
      <c r="K132" s="5"/>
      <c r="L132" s="5"/>
      <c r="M132" s="5"/>
      <c r="N132" s="5"/>
    </row>
    <row r="133" spans="4:14" x14ac:dyDescent="0.25">
      <c r="D133" s="52"/>
      <c r="E133" s="33"/>
      <c r="F133" s="33"/>
      <c r="G133" s="35"/>
      <c r="H133" s="4"/>
      <c r="I133" s="4"/>
      <c r="J133" s="5"/>
      <c r="K133" s="5"/>
      <c r="L133" s="5"/>
      <c r="M133" s="5"/>
      <c r="N133" s="5"/>
    </row>
    <row r="134" spans="4:14" x14ac:dyDescent="0.25">
      <c r="D134" s="52"/>
      <c r="E134" s="33"/>
      <c r="F134" s="33"/>
      <c r="G134" s="35"/>
      <c r="H134" s="4"/>
      <c r="I134" s="4"/>
      <c r="J134" s="5"/>
      <c r="K134" s="5"/>
      <c r="L134" s="5"/>
      <c r="M134" s="5"/>
      <c r="N134" s="5"/>
    </row>
    <row r="135" spans="4:14" x14ac:dyDescent="0.25">
      <c r="D135" s="52"/>
      <c r="E135" s="33"/>
      <c r="F135" s="33"/>
      <c r="G135" s="35"/>
      <c r="H135" s="4"/>
      <c r="I135" s="4"/>
      <c r="J135" s="5"/>
      <c r="K135" s="5"/>
      <c r="L135" s="5"/>
      <c r="M135" s="5"/>
      <c r="N135" s="5"/>
    </row>
    <row r="136" spans="4:14" x14ac:dyDescent="0.25">
      <c r="D136" s="52"/>
      <c r="E136" s="33"/>
      <c r="F136" s="33"/>
      <c r="G136" s="35"/>
      <c r="H136" s="4"/>
      <c r="I136" s="4"/>
      <c r="J136" s="5"/>
      <c r="K136" s="5"/>
      <c r="L136" s="5"/>
      <c r="M136" s="5"/>
      <c r="N136" s="5"/>
    </row>
    <row r="137" spans="4:14" x14ac:dyDescent="0.25">
      <c r="D137" s="52"/>
      <c r="E137" s="33"/>
      <c r="F137" s="33"/>
      <c r="G137" s="35"/>
      <c r="H137" s="4"/>
      <c r="I137" s="4"/>
      <c r="J137" s="5"/>
      <c r="K137" s="5"/>
      <c r="L137" s="5"/>
      <c r="M137" s="5"/>
      <c r="N137" s="5"/>
    </row>
    <row r="138" spans="4:14" x14ac:dyDescent="0.25">
      <c r="D138" s="52"/>
      <c r="E138" s="33"/>
      <c r="F138" s="33"/>
      <c r="G138" s="35"/>
      <c r="H138" s="4"/>
      <c r="I138" s="4"/>
      <c r="J138" s="5"/>
      <c r="K138" s="5"/>
      <c r="L138" s="5"/>
      <c r="M138" s="5"/>
      <c r="N138" s="5"/>
    </row>
    <row r="139" spans="4:14" x14ac:dyDescent="0.25">
      <c r="D139" s="52"/>
      <c r="E139" s="33"/>
      <c r="F139" s="33"/>
      <c r="G139" s="35"/>
      <c r="H139" s="4"/>
      <c r="I139" s="4"/>
      <c r="J139" s="5"/>
      <c r="K139" s="5"/>
      <c r="L139" s="5"/>
      <c r="M139" s="5"/>
      <c r="N139" s="5"/>
    </row>
    <row r="140" spans="4:14" x14ac:dyDescent="0.25">
      <c r="D140" s="52"/>
      <c r="E140" s="33"/>
      <c r="F140" s="33"/>
      <c r="G140" s="35"/>
      <c r="H140" s="4"/>
      <c r="I140" s="4"/>
      <c r="J140" s="5"/>
      <c r="K140" s="5"/>
      <c r="L140" s="5"/>
      <c r="M140" s="5"/>
      <c r="N140" s="5"/>
    </row>
    <row r="141" spans="4:14" x14ac:dyDescent="0.25">
      <c r="D141" s="52"/>
      <c r="E141" s="33"/>
      <c r="F141" s="33"/>
      <c r="G141" s="35"/>
      <c r="H141" s="4"/>
      <c r="I141" s="4"/>
      <c r="J141" s="5"/>
      <c r="K141" s="5"/>
      <c r="L141" s="5"/>
      <c r="M141" s="5"/>
      <c r="N141" s="5"/>
    </row>
    <row r="142" spans="4:14" x14ac:dyDescent="0.25">
      <c r="D142" s="52"/>
      <c r="E142" s="33"/>
      <c r="F142" s="33"/>
      <c r="G142" s="35"/>
      <c r="H142" s="4"/>
      <c r="I142" s="4"/>
      <c r="J142" s="5"/>
      <c r="K142" s="5"/>
      <c r="L142" s="5"/>
      <c r="M142" s="5"/>
      <c r="N142" s="5"/>
    </row>
    <row r="143" spans="4:14" x14ac:dyDescent="0.25">
      <c r="D143" s="52"/>
      <c r="E143" s="33"/>
      <c r="F143" s="33"/>
      <c r="G143" s="35"/>
      <c r="H143" s="4"/>
      <c r="I143" s="4"/>
      <c r="J143" s="5"/>
      <c r="K143" s="5"/>
      <c r="L143" s="5"/>
      <c r="M143" s="5"/>
      <c r="N143" s="5"/>
    </row>
    <row r="144" spans="4:14" x14ac:dyDescent="0.25">
      <c r="D144" s="52"/>
      <c r="E144" s="33"/>
      <c r="F144" s="33"/>
      <c r="G144" s="35"/>
      <c r="H144" s="4"/>
      <c r="I144" s="4"/>
      <c r="J144" s="5"/>
      <c r="K144" s="5"/>
      <c r="L144" s="5"/>
      <c r="M144" s="5"/>
      <c r="N144" s="5"/>
    </row>
    <row r="145" spans="4:14" x14ac:dyDescent="0.25">
      <c r="D145" s="52"/>
      <c r="E145" s="33"/>
      <c r="F145" s="33"/>
      <c r="G145" s="35"/>
      <c r="H145" s="4"/>
      <c r="I145" s="4"/>
      <c r="J145" s="5"/>
      <c r="K145" s="5"/>
      <c r="L145" s="5"/>
      <c r="M145" s="5"/>
      <c r="N145" s="5"/>
    </row>
    <row r="146" spans="4:14" x14ac:dyDescent="0.25">
      <c r="D146" s="52"/>
      <c r="E146" s="33"/>
      <c r="F146" s="33"/>
      <c r="G146" s="35"/>
      <c r="H146" s="4"/>
      <c r="I146" s="4"/>
      <c r="J146" s="5"/>
      <c r="K146" s="5"/>
      <c r="L146" s="5"/>
      <c r="M146" s="5"/>
      <c r="N146" s="5"/>
    </row>
    <row r="147" spans="4:14" x14ac:dyDescent="0.25">
      <c r="D147" s="52"/>
      <c r="E147" s="33"/>
      <c r="F147" s="33"/>
      <c r="G147" s="35"/>
      <c r="H147" s="4"/>
      <c r="I147" s="4"/>
      <c r="J147" s="5"/>
      <c r="K147" s="5"/>
      <c r="L147" s="5"/>
      <c r="M147" s="5"/>
      <c r="N147" s="5"/>
    </row>
    <row r="148" spans="4:14" x14ac:dyDescent="0.25">
      <c r="D148" s="52"/>
      <c r="E148" s="33"/>
      <c r="F148" s="33"/>
      <c r="G148" s="35"/>
      <c r="H148" s="4"/>
      <c r="I148" s="4"/>
      <c r="J148" s="5"/>
      <c r="K148" s="5"/>
      <c r="L148" s="5"/>
      <c r="M148" s="5"/>
      <c r="N148" s="5"/>
    </row>
    <row r="149" spans="4:14" x14ac:dyDescent="0.25">
      <c r="D149" s="52"/>
      <c r="E149" s="33"/>
      <c r="F149" s="33"/>
      <c r="G149" s="35"/>
      <c r="H149" s="4"/>
      <c r="I149" s="4"/>
      <c r="J149" s="5"/>
      <c r="K149" s="5"/>
      <c r="L149" s="5"/>
      <c r="M149" s="5"/>
      <c r="N149" s="5"/>
    </row>
    <row r="150" spans="4:14" x14ac:dyDescent="0.25">
      <c r="D150" s="52"/>
      <c r="E150" s="33"/>
      <c r="F150" s="33"/>
      <c r="G150" s="35"/>
      <c r="H150" s="4"/>
      <c r="I150" s="4"/>
      <c r="J150" s="5"/>
      <c r="K150" s="5"/>
      <c r="L150" s="5"/>
      <c r="M150" s="5"/>
      <c r="N150" s="5"/>
    </row>
    <row r="151" spans="4:14" x14ac:dyDescent="0.25">
      <c r="D151" s="52"/>
      <c r="E151" s="33"/>
      <c r="F151" s="33"/>
      <c r="G151" s="35"/>
      <c r="H151" s="4"/>
      <c r="I151" s="4"/>
      <c r="J151" s="5"/>
      <c r="K151" s="5"/>
      <c r="L151" s="5"/>
      <c r="M151" s="5"/>
      <c r="N151" s="5"/>
    </row>
    <row r="152" spans="4:14" x14ac:dyDescent="0.25">
      <c r="D152" s="52"/>
      <c r="E152" s="33"/>
      <c r="F152" s="33"/>
      <c r="G152" s="35"/>
      <c r="H152" s="4"/>
      <c r="I152" s="4"/>
      <c r="J152" s="5"/>
      <c r="K152" s="5"/>
      <c r="L152" s="5"/>
      <c r="M152" s="5"/>
      <c r="N152" s="5"/>
    </row>
    <row r="153" spans="4:14" x14ac:dyDescent="0.25">
      <c r="D153" s="52"/>
      <c r="E153" s="33"/>
      <c r="F153" s="33"/>
      <c r="G153" s="35"/>
      <c r="H153" s="4"/>
      <c r="I153" s="4"/>
      <c r="J153" s="5"/>
      <c r="K153" s="5"/>
      <c r="L153" s="5"/>
      <c r="M153" s="5"/>
      <c r="N153" s="5"/>
    </row>
    <row r="154" spans="4:14" x14ac:dyDescent="0.25">
      <c r="D154" s="52"/>
      <c r="E154" s="33"/>
      <c r="F154" s="33"/>
      <c r="G154" s="35"/>
      <c r="H154" s="4"/>
      <c r="I154" s="4"/>
      <c r="J154" s="5"/>
      <c r="K154" s="5"/>
      <c r="L154" s="5"/>
      <c r="M154" s="5"/>
      <c r="N154" s="5"/>
    </row>
    <row r="155" spans="4:14" x14ac:dyDescent="0.25">
      <c r="D155" s="52"/>
      <c r="E155" s="33"/>
      <c r="F155" s="33"/>
      <c r="G155" s="35"/>
      <c r="H155" s="4"/>
      <c r="I155" s="4"/>
      <c r="J155" s="5"/>
      <c r="K155" s="5"/>
      <c r="L155" s="5"/>
      <c r="M155" s="5"/>
      <c r="N155" s="5"/>
    </row>
    <row r="156" spans="4:14" x14ac:dyDescent="0.25">
      <c r="D156" s="52"/>
      <c r="E156" s="33"/>
      <c r="F156" s="33"/>
      <c r="G156" s="35"/>
      <c r="H156" s="4"/>
      <c r="I156" s="4"/>
      <c r="J156" s="5"/>
      <c r="K156" s="5"/>
      <c r="L156" s="5"/>
      <c r="M156" s="5"/>
      <c r="N156" s="5"/>
    </row>
    <row r="157" spans="4:14" x14ac:dyDescent="0.25">
      <c r="D157" s="52"/>
      <c r="E157" s="33"/>
      <c r="F157" s="33"/>
      <c r="G157" s="35"/>
      <c r="H157" s="4"/>
      <c r="I157" s="4"/>
      <c r="J157" s="5"/>
      <c r="K157" s="5"/>
      <c r="L157" s="5"/>
      <c r="M157" s="5"/>
      <c r="N157" s="5"/>
    </row>
    <row r="158" spans="4:14" x14ac:dyDescent="0.25">
      <c r="D158" s="52"/>
      <c r="E158" s="33"/>
      <c r="F158" s="33"/>
      <c r="G158" s="35"/>
      <c r="H158" s="4"/>
      <c r="I158" s="4"/>
      <c r="J158" s="5"/>
      <c r="K158" s="5"/>
      <c r="L158" s="5"/>
      <c r="M158" s="5"/>
      <c r="N158" s="5"/>
    </row>
    <row r="159" spans="4:14" x14ac:dyDescent="0.25">
      <c r="D159" s="52"/>
      <c r="E159" s="33"/>
      <c r="F159" s="33"/>
      <c r="G159" s="35"/>
      <c r="H159" s="4"/>
      <c r="I159" s="4"/>
      <c r="J159" s="5"/>
      <c r="K159" s="5"/>
      <c r="L159" s="5"/>
      <c r="M159" s="5"/>
      <c r="N159" s="5"/>
    </row>
    <row r="160" spans="4:14" x14ac:dyDescent="0.25">
      <c r="D160" s="52"/>
      <c r="E160" s="33"/>
      <c r="F160" s="33"/>
      <c r="G160" s="35"/>
      <c r="H160" s="4"/>
      <c r="I160" s="4"/>
      <c r="J160" s="5"/>
      <c r="K160" s="5"/>
      <c r="L160" s="5"/>
      <c r="M160" s="5"/>
      <c r="N160" s="5"/>
    </row>
    <row r="161" spans="4:14" x14ac:dyDescent="0.25">
      <c r="D161" s="52"/>
      <c r="E161" s="33"/>
      <c r="F161" s="33"/>
      <c r="G161" s="35"/>
      <c r="H161" s="4"/>
      <c r="I161" s="4"/>
      <c r="J161" s="5"/>
      <c r="K161" s="5"/>
      <c r="L161" s="5"/>
      <c r="M161" s="5"/>
      <c r="N161" s="5"/>
    </row>
    <row r="162" spans="4:14" x14ac:dyDescent="0.25">
      <c r="D162" s="52"/>
      <c r="E162" s="33"/>
      <c r="F162" s="33"/>
      <c r="G162" s="35"/>
      <c r="H162" s="4"/>
      <c r="I162" s="4"/>
      <c r="J162" s="5"/>
      <c r="K162" s="5"/>
      <c r="L162" s="5"/>
      <c r="M162" s="5"/>
      <c r="N162" s="5"/>
    </row>
    <row r="163" spans="4:14" x14ac:dyDescent="0.25">
      <c r="D163" s="52"/>
      <c r="E163" s="33"/>
      <c r="F163" s="33"/>
      <c r="G163" s="35"/>
      <c r="H163" s="4"/>
      <c r="I163" s="4"/>
      <c r="J163" s="5"/>
      <c r="K163" s="5"/>
      <c r="L163" s="5"/>
      <c r="M163" s="5"/>
      <c r="N163" s="5"/>
    </row>
    <row r="164" spans="4:14" x14ac:dyDescent="0.25">
      <c r="D164" s="52"/>
      <c r="E164" s="33"/>
      <c r="F164" s="33"/>
      <c r="G164" s="35"/>
      <c r="H164" s="4"/>
      <c r="I164" s="4"/>
      <c r="J164" s="5"/>
      <c r="K164" s="5"/>
      <c r="L164" s="5"/>
      <c r="M164" s="5"/>
      <c r="N164" s="5"/>
    </row>
    <row r="165" spans="4:14" x14ac:dyDescent="0.25">
      <c r="D165" s="52"/>
      <c r="E165" s="33"/>
      <c r="F165" s="33"/>
      <c r="G165" s="35"/>
      <c r="H165" s="4"/>
      <c r="I165" s="4"/>
      <c r="J165" s="5"/>
      <c r="K165" s="5"/>
      <c r="L165" s="5"/>
      <c r="M165" s="5"/>
      <c r="N165" s="5"/>
    </row>
    <row r="166" spans="4:14" x14ac:dyDescent="0.25">
      <c r="D166" s="52"/>
      <c r="E166" s="33"/>
      <c r="F166" s="33"/>
      <c r="G166" s="35"/>
      <c r="H166" s="4"/>
      <c r="I166" s="4"/>
      <c r="J166" s="5"/>
      <c r="K166" s="5"/>
      <c r="L166" s="5"/>
      <c r="M166" s="5"/>
      <c r="N166" s="5"/>
    </row>
    <row r="167" spans="4:14" x14ac:dyDescent="0.25">
      <c r="D167" s="52"/>
      <c r="E167" s="33"/>
      <c r="F167" s="33"/>
      <c r="G167" s="35"/>
      <c r="H167" s="4"/>
      <c r="I167" s="4"/>
      <c r="J167" s="5"/>
      <c r="K167" s="5"/>
      <c r="L167" s="5"/>
      <c r="M167" s="5"/>
      <c r="N167" s="5"/>
    </row>
    <row r="168" spans="4:14" x14ac:dyDescent="0.25">
      <c r="D168" s="52"/>
      <c r="E168" s="33"/>
      <c r="F168" s="33"/>
      <c r="G168" s="35"/>
      <c r="H168" s="4"/>
      <c r="I168" s="4"/>
      <c r="J168" s="5"/>
      <c r="K168" s="5"/>
      <c r="L168" s="5"/>
      <c r="M168" s="5"/>
      <c r="N168" s="5"/>
    </row>
    <row r="169" spans="4:14" x14ac:dyDescent="0.25">
      <c r="D169" s="52"/>
      <c r="E169" s="33"/>
      <c r="F169" s="33"/>
      <c r="G169" s="35"/>
      <c r="H169" s="4"/>
      <c r="I169" s="4"/>
      <c r="J169" s="5"/>
      <c r="K169" s="5"/>
      <c r="L169" s="5"/>
      <c r="M169" s="5"/>
      <c r="N169" s="5"/>
    </row>
    <row r="170" spans="4:14" x14ac:dyDescent="0.25">
      <c r="D170" s="52"/>
      <c r="E170" s="33"/>
      <c r="F170" s="33"/>
      <c r="G170" s="35"/>
      <c r="H170" s="4"/>
      <c r="I170" s="4"/>
      <c r="J170" s="5"/>
      <c r="K170" s="5"/>
      <c r="L170" s="5"/>
      <c r="M170" s="5"/>
      <c r="N170" s="5"/>
    </row>
    <row r="171" spans="4:14" x14ac:dyDescent="0.25">
      <c r="D171" s="52"/>
      <c r="E171" s="33"/>
      <c r="F171" s="33"/>
      <c r="G171" s="35"/>
      <c r="H171" s="4"/>
      <c r="I171" s="4"/>
      <c r="J171" s="5"/>
      <c r="K171" s="5"/>
      <c r="L171" s="5"/>
      <c r="M171" s="5"/>
      <c r="N171" s="5"/>
    </row>
    <row r="172" spans="4:14" x14ac:dyDescent="0.25">
      <c r="D172" s="52"/>
      <c r="E172" s="33"/>
      <c r="F172" s="33"/>
      <c r="G172" s="35"/>
      <c r="H172" s="4"/>
      <c r="I172" s="4"/>
      <c r="J172" s="5"/>
      <c r="K172" s="5"/>
      <c r="L172" s="5"/>
      <c r="M172" s="5"/>
      <c r="N172" s="5"/>
    </row>
    <row r="173" spans="4:14" x14ac:dyDescent="0.25">
      <c r="D173" s="52"/>
      <c r="E173" s="33"/>
      <c r="F173" s="33"/>
      <c r="G173" s="35"/>
      <c r="H173" s="4"/>
      <c r="I173" s="4"/>
      <c r="J173" s="5"/>
      <c r="K173" s="5"/>
      <c r="L173" s="5"/>
      <c r="M173" s="5"/>
      <c r="N173" s="5"/>
    </row>
    <row r="174" spans="4:14" x14ac:dyDescent="0.25">
      <c r="D174" s="52"/>
      <c r="E174" s="33"/>
      <c r="F174" s="33"/>
      <c r="G174" s="35"/>
      <c r="H174" s="4"/>
      <c r="I174" s="4"/>
      <c r="J174" s="5"/>
      <c r="K174" s="5"/>
      <c r="L174" s="5"/>
      <c r="M174" s="5"/>
      <c r="N174" s="5"/>
    </row>
    <row r="175" spans="4:14" x14ac:dyDescent="0.25">
      <c r="D175" s="52"/>
      <c r="E175" s="33"/>
      <c r="F175" s="33"/>
      <c r="G175" s="35"/>
      <c r="H175" s="4"/>
      <c r="I175" s="4"/>
      <c r="J175" s="5"/>
      <c r="K175" s="5"/>
      <c r="L175" s="5"/>
      <c r="M175" s="5"/>
      <c r="N175" s="5"/>
    </row>
    <row r="176" spans="4:14" x14ac:dyDescent="0.25">
      <c r="D176" s="52"/>
      <c r="E176" s="33"/>
      <c r="F176" s="33"/>
      <c r="G176" s="35"/>
      <c r="H176" s="4"/>
      <c r="I176" s="4"/>
      <c r="J176" s="5"/>
      <c r="K176" s="5"/>
      <c r="L176" s="5"/>
      <c r="M176" s="5"/>
      <c r="N176" s="5"/>
    </row>
    <row r="177" spans="4:14" x14ac:dyDescent="0.25">
      <c r="D177" s="52"/>
      <c r="E177" s="33"/>
      <c r="F177" s="33"/>
      <c r="G177" s="35"/>
      <c r="H177" s="4"/>
      <c r="I177" s="4"/>
      <c r="J177" s="5"/>
      <c r="K177" s="5"/>
      <c r="L177" s="5"/>
      <c r="M177" s="5"/>
      <c r="N177" s="5"/>
    </row>
    <row r="178" spans="4:14" x14ac:dyDescent="0.25">
      <c r="D178" s="52"/>
      <c r="E178" s="33"/>
      <c r="F178" s="33"/>
      <c r="G178" s="35"/>
      <c r="H178" s="4"/>
      <c r="I178" s="4"/>
      <c r="J178" s="5"/>
      <c r="K178" s="5"/>
      <c r="L178" s="5"/>
      <c r="M178" s="5"/>
      <c r="N178" s="5"/>
    </row>
    <row r="179" spans="4:14" x14ac:dyDescent="0.25">
      <c r="D179" s="52"/>
      <c r="E179" s="33"/>
      <c r="F179" s="33"/>
      <c r="G179" s="35"/>
      <c r="H179" s="4"/>
      <c r="I179" s="4"/>
      <c r="J179" s="5"/>
      <c r="K179" s="5"/>
      <c r="L179" s="5"/>
      <c r="M179" s="5"/>
      <c r="N179" s="5"/>
    </row>
    <row r="180" spans="4:14" x14ac:dyDescent="0.25">
      <c r="D180" s="52"/>
      <c r="E180" s="33"/>
      <c r="F180" s="33"/>
      <c r="G180" s="35"/>
      <c r="H180" s="4"/>
      <c r="I180" s="4"/>
      <c r="J180" s="5"/>
      <c r="K180" s="5"/>
      <c r="L180" s="5"/>
      <c r="M180" s="5"/>
      <c r="N180" s="5"/>
    </row>
    <row r="181" spans="4:14" x14ac:dyDescent="0.25">
      <c r="D181" s="52"/>
      <c r="E181" s="33"/>
      <c r="F181" s="33"/>
      <c r="G181" s="35"/>
      <c r="H181" s="4"/>
      <c r="I181" s="4"/>
      <c r="J181" s="5"/>
      <c r="K181" s="5"/>
      <c r="L181" s="5"/>
      <c r="M181" s="5"/>
      <c r="N181" s="5"/>
    </row>
    <row r="182" spans="4:14" x14ac:dyDescent="0.25">
      <c r="D182" s="52"/>
      <c r="E182" s="33"/>
      <c r="F182" s="33"/>
      <c r="G182" s="35"/>
      <c r="H182" s="4"/>
      <c r="I182" s="4"/>
      <c r="J182" s="5"/>
      <c r="K182" s="5"/>
      <c r="L182" s="5"/>
      <c r="M182" s="5"/>
      <c r="N182" s="5"/>
    </row>
    <row r="183" spans="4:14" x14ac:dyDescent="0.25">
      <c r="D183" s="52"/>
      <c r="E183" s="33"/>
      <c r="F183" s="33"/>
      <c r="G183" s="35"/>
      <c r="H183" s="4"/>
      <c r="I183" s="4"/>
      <c r="J183" s="5"/>
      <c r="K183" s="5"/>
      <c r="L183" s="5"/>
      <c r="M183" s="5"/>
      <c r="N183" s="5"/>
    </row>
    <row r="184" spans="4:14" x14ac:dyDescent="0.25">
      <c r="D184" s="52"/>
      <c r="E184" s="33"/>
      <c r="F184" s="33"/>
      <c r="G184" s="35"/>
      <c r="H184" s="4"/>
      <c r="I184" s="4"/>
      <c r="J184" s="5"/>
      <c r="K184" s="5"/>
      <c r="L184" s="5"/>
      <c r="M184" s="5"/>
      <c r="N184" s="5"/>
    </row>
    <row r="185" spans="4:14" x14ac:dyDescent="0.25">
      <c r="D185" s="52"/>
      <c r="E185" s="33"/>
      <c r="F185" s="33"/>
      <c r="G185" s="35"/>
      <c r="H185" s="4"/>
      <c r="I185" s="4"/>
      <c r="J185" s="5"/>
      <c r="K185" s="5"/>
      <c r="L185" s="5"/>
      <c r="M185" s="5"/>
      <c r="N185" s="5"/>
    </row>
    <row r="186" spans="4:14" x14ac:dyDescent="0.25">
      <c r="D186" s="52"/>
      <c r="E186" s="33"/>
      <c r="F186" s="33"/>
      <c r="G186" s="35"/>
      <c r="H186" s="4"/>
      <c r="I186" s="4"/>
      <c r="J186" s="5"/>
      <c r="K186" s="5"/>
      <c r="L186" s="5"/>
      <c r="M186" s="5"/>
      <c r="N186" s="5"/>
    </row>
    <row r="187" spans="4:14" x14ac:dyDescent="0.25">
      <c r="D187" s="52"/>
      <c r="E187" s="33"/>
      <c r="F187" s="33"/>
      <c r="G187" s="35"/>
      <c r="H187" s="4"/>
      <c r="I187" s="4"/>
      <c r="J187" s="5"/>
      <c r="K187" s="5"/>
      <c r="L187" s="5"/>
      <c r="M187" s="5"/>
      <c r="N187" s="5"/>
    </row>
    <row r="188" spans="4:14" x14ac:dyDescent="0.25">
      <c r="D188" s="52"/>
      <c r="E188" s="33"/>
      <c r="F188" s="33"/>
      <c r="G188" s="35"/>
      <c r="H188" s="4"/>
      <c r="I188" s="4"/>
      <c r="J188" s="5"/>
      <c r="K188" s="5"/>
      <c r="L188" s="5"/>
      <c r="M188" s="5"/>
      <c r="N188" s="5"/>
    </row>
    <row r="189" spans="4:14" x14ac:dyDescent="0.25">
      <c r="D189" s="52"/>
      <c r="E189" s="33"/>
      <c r="F189" s="33"/>
      <c r="G189" s="35"/>
      <c r="H189" s="4"/>
      <c r="I189" s="4"/>
      <c r="J189" s="5"/>
      <c r="K189" s="5"/>
      <c r="L189" s="5"/>
      <c r="M189" s="5"/>
      <c r="N189" s="5"/>
    </row>
    <row r="190" spans="4:14" x14ac:dyDescent="0.25">
      <c r="D190" s="52"/>
      <c r="E190" s="33"/>
      <c r="F190" s="33"/>
      <c r="G190" s="35"/>
      <c r="H190" s="4"/>
      <c r="I190" s="4"/>
      <c r="J190" s="5"/>
      <c r="K190" s="5"/>
      <c r="L190" s="5"/>
      <c r="M190" s="5"/>
      <c r="N190" s="5"/>
    </row>
    <row r="191" spans="4:14" x14ac:dyDescent="0.25">
      <c r="D191" s="52"/>
      <c r="E191" s="33"/>
      <c r="F191" s="33"/>
      <c r="G191" s="35"/>
      <c r="H191" s="4"/>
      <c r="I191" s="4"/>
      <c r="J191" s="5"/>
      <c r="K191" s="5"/>
      <c r="L191" s="5"/>
      <c r="M191" s="5"/>
      <c r="N191" s="5"/>
    </row>
    <row r="192" spans="4:14" x14ac:dyDescent="0.25">
      <c r="D192" s="52"/>
      <c r="E192" s="33"/>
      <c r="F192" s="33"/>
      <c r="G192" s="35"/>
      <c r="H192" s="4"/>
      <c r="I192" s="4"/>
      <c r="J192" s="5"/>
      <c r="K192" s="5"/>
      <c r="L192" s="5"/>
      <c r="M192" s="5"/>
      <c r="N192" s="5"/>
    </row>
    <row r="193" spans="4:14" x14ac:dyDescent="0.25">
      <c r="D193" s="52"/>
      <c r="E193" s="33"/>
      <c r="F193" s="33"/>
      <c r="G193" s="35"/>
      <c r="H193" s="4"/>
      <c r="I193" s="4"/>
      <c r="J193" s="5"/>
      <c r="K193" s="5"/>
      <c r="L193" s="5"/>
      <c r="M193" s="5"/>
      <c r="N193" s="5"/>
    </row>
    <row r="194" spans="4:14" x14ac:dyDescent="0.25">
      <c r="D194" s="52"/>
      <c r="E194" s="33"/>
      <c r="F194" s="33"/>
      <c r="G194" s="35"/>
      <c r="H194" s="4"/>
      <c r="I194" s="4"/>
      <c r="J194" s="5"/>
      <c r="K194" s="5"/>
      <c r="L194" s="5"/>
      <c r="M194" s="5"/>
      <c r="N194" s="5"/>
    </row>
    <row r="195" spans="4:14" x14ac:dyDescent="0.25">
      <c r="D195" s="52"/>
      <c r="E195" s="33"/>
      <c r="F195" s="33"/>
      <c r="G195" s="35"/>
      <c r="H195" s="4"/>
      <c r="I195" s="4"/>
      <c r="J195" s="5"/>
      <c r="K195" s="5"/>
      <c r="L195" s="5"/>
      <c r="M195" s="5"/>
      <c r="N195" s="5"/>
    </row>
    <row r="196" spans="4:14" x14ac:dyDescent="0.25">
      <c r="D196" s="52"/>
      <c r="E196" s="33"/>
      <c r="F196" s="33"/>
      <c r="G196" s="35"/>
      <c r="H196" s="4"/>
      <c r="I196" s="4"/>
      <c r="J196" s="5"/>
      <c r="K196" s="5"/>
      <c r="L196" s="5"/>
      <c r="M196" s="5"/>
      <c r="N196" s="5"/>
    </row>
    <row r="197" spans="4:14" x14ac:dyDescent="0.25">
      <c r="D197" s="52"/>
      <c r="E197" s="33"/>
      <c r="F197" s="33"/>
      <c r="G197" s="35"/>
      <c r="H197" s="4"/>
      <c r="I197" s="4"/>
      <c r="J197" s="5"/>
      <c r="K197" s="5"/>
      <c r="L197" s="5"/>
      <c r="M197" s="5"/>
      <c r="N197" s="5"/>
    </row>
    <row r="198" spans="4:14" x14ac:dyDescent="0.25">
      <c r="D198" s="52"/>
      <c r="E198" s="33"/>
      <c r="F198" s="33"/>
      <c r="G198" s="35"/>
      <c r="H198" s="4"/>
      <c r="I198" s="4"/>
      <c r="J198" s="5"/>
      <c r="K198" s="5"/>
      <c r="L198" s="5"/>
      <c r="M198" s="5"/>
      <c r="N198" s="5"/>
    </row>
    <row r="199" spans="4:14" x14ac:dyDescent="0.25">
      <c r="D199" s="52"/>
      <c r="E199" s="33"/>
      <c r="F199" s="33"/>
      <c r="G199" s="35"/>
      <c r="H199" s="4"/>
      <c r="I199" s="4"/>
      <c r="J199" s="5"/>
      <c r="K199" s="5"/>
      <c r="L199" s="5"/>
      <c r="M199" s="5"/>
      <c r="N199" s="5"/>
    </row>
    <row r="200" spans="4:14" x14ac:dyDescent="0.25">
      <c r="D200" s="52"/>
      <c r="E200" s="33"/>
      <c r="F200" s="33"/>
      <c r="G200" s="35"/>
      <c r="H200" s="4"/>
      <c r="I200" s="4"/>
      <c r="J200" s="5"/>
      <c r="K200" s="5"/>
      <c r="L200" s="5"/>
      <c r="M200" s="5"/>
      <c r="N200" s="5"/>
    </row>
  </sheetData>
  <mergeCells count="2">
    <mergeCell ref="A1:O1"/>
    <mergeCell ref="A2:O2"/>
  </mergeCells>
  <conditionalFormatting sqref="N5:N200">
    <cfRule type="cellIs" dxfId="5" priority="1" operator="greaterThan">
      <formula>0</formula>
    </cfRule>
  </conditionalFormatting>
  <conditionalFormatting sqref="N5:N200">
    <cfRule type="cellIs" dxfId="4" priority="2" operator="lessThan">
      <formula>0</formula>
    </cfRule>
  </conditionalFormatting>
  <dataValidations count="1">
    <dataValidation type="list" allowBlank="1" showInputMessage="1" showErrorMessage="1" sqref="A5:A200" xr:uid="{5DDC9E7A-9DA4-402E-B020-15B890B56B32}">
      <formula1>"Velan,Pavi"</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CA5A7-C501-43B4-8245-A79A83579350}">
  <sheetPr>
    <tabColor rgb="FFC55A11"/>
  </sheetPr>
  <dimension ref="A1:S200"/>
  <sheetViews>
    <sheetView topLeftCell="A7" workbookViewId="0">
      <selection activeCell="E11" sqref="E11"/>
    </sheetView>
  </sheetViews>
  <sheetFormatPr defaultRowHeight="12.5" x14ac:dyDescent="0.25"/>
  <cols>
    <col min="1" max="1" width="12.7265625" customWidth="1"/>
    <col min="2" max="2" width="23.6328125" customWidth="1"/>
    <col min="3" max="3" width="20" customWidth="1"/>
    <col min="4" max="4" width="13.6328125" customWidth="1"/>
    <col min="5" max="5" width="10.90625" customWidth="1"/>
    <col min="6" max="6" width="14.54296875" customWidth="1"/>
    <col min="7" max="7" width="15.453125" customWidth="1"/>
    <col min="8" max="8" width="12.7265625" customWidth="1"/>
    <col min="9" max="9" width="14.54296875" customWidth="1"/>
    <col min="10" max="10" width="16.36328125" customWidth="1"/>
    <col min="11" max="11" width="15.453125" customWidth="1"/>
    <col min="12" max="13" width="14.54296875" customWidth="1"/>
    <col min="14" max="15" width="16.36328125" customWidth="1"/>
    <col min="16" max="18" width="15.453125" customWidth="1"/>
    <col min="19" max="19" width="14.54296875" customWidth="1"/>
  </cols>
  <sheetData>
    <row r="1" spans="1:19" ht="30" customHeight="1" x14ac:dyDescent="0.55000000000000004">
      <c r="A1" s="6" t="s">
        <v>137</v>
      </c>
      <c r="B1" s="6"/>
      <c r="C1" s="6"/>
      <c r="D1" s="6"/>
      <c r="E1" s="6"/>
      <c r="F1" s="6"/>
      <c r="G1" s="6"/>
      <c r="H1" s="6"/>
      <c r="I1" s="6"/>
      <c r="J1" s="6"/>
      <c r="K1" s="6"/>
      <c r="L1" s="6"/>
      <c r="M1" s="6"/>
      <c r="N1" s="6"/>
      <c r="O1" s="6"/>
      <c r="P1" s="6"/>
      <c r="Q1" s="6"/>
      <c r="R1" s="6"/>
      <c r="S1" s="6"/>
    </row>
    <row r="2" spans="1:19" ht="13" x14ac:dyDescent="0.3">
      <c r="A2" s="9" t="s">
        <v>138</v>
      </c>
      <c r="B2" s="9"/>
      <c r="C2" s="9"/>
      <c r="D2" s="9"/>
      <c r="E2" s="9"/>
      <c r="F2" s="9"/>
      <c r="G2" s="9"/>
      <c r="H2" s="9"/>
      <c r="I2" s="9"/>
      <c r="J2" s="9"/>
      <c r="K2" s="9"/>
      <c r="L2" s="9"/>
      <c r="M2" s="9"/>
      <c r="N2" s="9"/>
      <c r="O2" s="9"/>
      <c r="P2" s="9"/>
      <c r="Q2" s="9"/>
      <c r="R2" s="9"/>
      <c r="S2" s="9"/>
    </row>
    <row r="3" spans="1:19" ht="13" x14ac:dyDescent="0.3">
      <c r="A3" s="7"/>
      <c r="B3" s="7"/>
      <c r="C3" s="7"/>
      <c r="D3" s="7"/>
      <c r="E3" s="7"/>
      <c r="F3" s="7"/>
      <c r="G3" s="7"/>
      <c r="H3" s="7"/>
      <c r="I3" s="7"/>
      <c r="J3" s="7"/>
      <c r="K3" s="7"/>
      <c r="L3" s="7"/>
      <c r="M3" s="7"/>
      <c r="N3" s="7"/>
      <c r="O3" s="7"/>
      <c r="P3" s="7"/>
      <c r="Q3" s="7"/>
      <c r="R3" s="7"/>
      <c r="S3" s="7"/>
    </row>
    <row r="4" spans="1:19" ht="30" customHeight="1" x14ac:dyDescent="0.3">
      <c r="A4" s="27" t="s">
        <v>110</v>
      </c>
      <c r="B4" s="27" t="s">
        <v>139</v>
      </c>
      <c r="C4" s="27" t="s">
        <v>140</v>
      </c>
      <c r="D4" s="27" t="s">
        <v>141</v>
      </c>
      <c r="E4" s="27" t="s">
        <v>21</v>
      </c>
      <c r="F4" s="27" t="s">
        <v>142</v>
      </c>
      <c r="G4" s="27" t="s">
        <v>143</v>
      </c>
      <c r="H4" s="27" t="s">
        <v>144</v>
      </c>
      <c r="I4" s="27" t="s">
        <v>145</v>
      </c>
      <c r="J4" s="27" t="s">
        <v>146</v>
      </c>
      <c r="K4" s="27" t="s">
        <v>115</v>
      </c>
      <c r="L4" s="27" t="s">
        <v>19</v>
      </c>
      <c r="M4" s="27" t="s">
        <v>147</v>
      </c>
      <c r="N4" s="27" t="s">
        <v>148</v>
      </c>
      <c r="O4" s="27" t="s">
        <v>149</v>
      </c>
      <c r="P4" s="27" t="s">
        <v>150</v>
      </c>
      <c r="Q4" s="27" t="s">
        <v>22</v>
      </c>
      <c r="R4" s="27" t="s">
        <v>23</v>
      </c>
      <c r="S4" s="27" t="s">
        <v>123</v>
      </c>
    </row>
    <row r="5" spans="1:19" ht="13" x14ac:dyDescent="0.3">
      <c r="A5" s="30" t="s">
        <v>8</v>
      </c>
      <c r="B5" s="30"/>
      <c r="C5" s="30"/>
      <c r="D5" s="51"/>
      <c r="E5" s="53"/>
      <c r="F5" s="51"/>
      <c r="G5" s="32"/>
      <c r="H5" s="34"/>
      <c r="I5" s="54"/>
      <c r="J5" s="32"/>
      <c r="K5" s="32"/>
      <c r="L5" s="31"/>
      <c r="M5" s="31"/>
      <c r="N5" s="29" t="str">
        <f t="shared" ref="N5:N6" si="0">IF(OR(E5="",F5=""),"",E5*F5)</f>
        <v/>
      </c>
      <c r="O5" s="29" t="str">
        <f t="shared" ref="O5:O6" si="1">IF(OR(E5="",M5=""),"",E5*M5)</f>
        <v/>
      </c>
      <c r="P5" s="29" t="str">
        <f t="shared" ref="P5:P6" ca="1" si="2">IF(OR(D5="",E5="",H5="",I5="",J5=""),"",D5*E5*H5*MAX(0,1-(J5-TODAY())/(365/I5)))</f>
        <v/>
      </c>
      <c r="Q5" s="29" t="str">
        <f t="shared" ref="Q5:Q6" si="3">IF(OR(E5="",L5="",M5=""),"",(M5-L5)*E5)</f>
        <v/>
      </c>
      <c r="R5" s="29" t="str">
        <f t="shared" ref="R5:R6" si="4">IF(OR(N5="",O5=""),"",O5+IF(P5="",0,P5)-N5)</f>
        <v/>
      </c>
      <c r="S5" s="7" t="str">
        <f t="shared" ref="S5:S6" ca="1" si="5">IF(A5="","",IF(K5="","Details Required",IF(TODAY()&gt;=K5,"Matured","Active")))</f>
        <v>Details Required</v>
      </c>
    </row>
    <row r="6" spans="1:19" ht="13" x14ac:dyDescent="0.3">
      <c r="A6" s="30" t="s">
        <v>10</v>
      </c>
      <c r="B6" s="30"/>
      <c r="C6" s="30"/>
      <c r="D6" s="51"/>
      <c r="E6" s="53"/>
      <c r="F6" s="51"/>
      <c r="G6" s="32"/>
      <c r="H6" s="34"/>
      <c r="I6" s="54"/>
      <c r="J6" s="32"/>
      <c r="K6" s="32"/>
      <c r="L6" s="31"/>
      <c r="M6" s="31"/>
      <c r="N6" s="29" t="str">
        <f>IF(OR(E6="",F6=""),"",E6*F6)</f>
        <v/>
      </c>
      <c r="O6" s="29" t="str">
        <f>IF(OR(E6="",M6=""),"",E6*M6)</f>
        <v/>
      </c>
      <c r="P6" s="29" t="str">
        <f ca="1">IF(OR(D6="",E6="",H6="",I6="",J6=""),"",D6*E6*H6*MAX(0,1-(J6-TODAY())/(365/I6)))</f>
        <v/>
      </c>
      <c r="Q6" s="29" t="str">
        <f>IF(OR(E6="",L6="",M6=""),"",(M6-L6)*E6)</f>
        <v/>
      </c>
      <c r="R6" s="29" t="str">
        <f>IF(OR(N6="",O6=""),"",O6+IF(P6="",0,P6)-N6)</f>
        <v/>
      </c>
      <c r="S6" s="7" t="str">
        <f ca="1">IF(A6="","",IF(K6="","Details Required",IF(TODAY()&gt;=K6,"Matured","Active")))</f>
        <v>Details Required</v>
      </c>
    </row>
    <row r="7" spans="1:19" x14ac:dyDescent="0.25">
      <c r="D7" s="52"/>
      <c r="E7" s="4"/>
      <c r="F7" s="52"/>
      <c r="G7" s="33"/>
      <c r="H7" s="35"/>
      <c r="I7" s="55"/>
      <c r="J7" s="33"/>
      <c r="K7" s="33"/>
      <c r="L7" s="5"/>
      <c r="M7" s="5"/>
      <c r="N7" s="5"/>
      <c r="O7" s="5"/>
      <c r="P7" s="5"/>
      <c r="Q7" s="5"/>
      <c r="R7" s="5"/>
    </row>
    <row r="8" spans="1:19" x14ac:dyDescent="0.25">
      <c r="D8" s="52"/>
      <c r="E8" s="4"/>
      <c r="F8" s="52"/>
      <c r="G8" s="33"/>
      <c r="H8" s="35"/>
      <c r="I8" s="55"/>
      <c r="J8" s="33"/>
      <c r="K8" s="33"/>
      <c r="L8" s="5"/>
      <c r="M8" s="5"/>
      <c r="N8" s="5"/>
      <c r="O8" s="5"/>
      <c r="P8" s="5"/>
      <c r="Q8" s="5"/>
      <c r="R8" s="5"/>
    </row>
    <row r="9" spans="1:19" x14ac:dyDescent="0.25">
      <c r="D9" s="52"/>
      <c r="E9" s="4"/>
      <c r="F9" s="52"/>
      <c r="G9" s="33"/>
      <c r="H9" s="35"/>
      <c r="I9" s="55"/>
      <c r="J9" s="33"/>
      <c r="K9" s="33"/>
      <c r="L9" s="5"/>
      <c r="M9" s="5"/>
      <c r="N9" s="5"/>
      <c r="O9" s="5"/>
      <c r="P9" s="5"/>
      <c r="Q9" s="5"/>
      <c r="R9" s="5"/>
    </row>
    <row r="10" spans="1:19" x14ac:dyDescent="0.25">
      <c r="D10" s="52"/>
      <c r="E10" s="4"/>
      <c r="F10" s="52"/>
      <c r="G10" s="33"/>
      <c r="H10" s="35"/>
      <c r="I10" s="55"/>
      <c r="J10" s="33"/>
      <c r="K10" s="33"/>
      <c r="L10" s="5"/>
      <c r="M10" s="5"/>
      <c r="N10" s="5"/>
      <c r="O10" s="5"/>
      <c r="P10" s="5"/>
      <c r="Q10" s="5"/>
      <c r="R10" s="5"/>
    </row>
    <row r="11" spans="1:19" x14ac:dyDescent="0.25">
      <c r="D11" s="52"/>
      <c r="E11" s="4"/>
      <c r="F11" s="52"/>
      <c r="G11" s="33"/>
      <c r="H11" s="35"/>
      <c r="I11" s="55"/>
      <c r="J11" s="33"/>
      <c r="K11" s="33"/>
      <c r="L11" s="5"/>
      <c r="M11" s="5"/>
      <c r="N11" s="5"/>
      <c r="O11" s="5"/>
      <c r="P11" s="5"/>
      <c r="Q11" s="5"/>
      <c r="R11" s="5"/>
    </row>
    <row r="12" spans="1:19" x14ac:dyDescent="0.25">
      <c r="D12" s="52"/>
      <c r="E12" s="4"/>
      <c r="F12" s="52"/>
      <c r="G12" s="33"/>
      <c r="H12" s="35"/>
      <c r="I12" s="55"/>
      <c r="J12" s="33"/>
      <c r="K12" s="33"/>
      <c r="L12" s="5"/>
      <c r="M12" s="5"/>
      <c r="N12" s="5"/>
      <c r="O12" s="5"/>
      <c r="P12" s="5"/>
      <c r="Q12" s="5"/>
      <c r="R12" s="5"/>
    </row>
    <row r="13" spans="1:19" x14ac:dyDescent="0.25">
      <c r="D13" s="52"/>
      <c r="E13" s="4"/>
      <c r="F13" s="52"/>
      <c r="G13" s="33"/>
      <c r="H13" s="35"/>
      <c r="I13" s="55"/>
      <c r="J13" s="33"/>
      <c r="K13" s="33"/>
      <c r="L13" s="5"/>
      <c r="M13" s="5"/>
      <c r="N13" s="5"/>
      <c r="O13" s="5"/>
      <c r="P13" s="5"/>
      <c r="Q13" s="5"/>
      <c r="R13" s="5"/>
    </row>
    <row r="14" spans="1:19" x14ac:dyDescent="0.25">
      <c r="D14" s="52"/>
      <c r="E14" s="4"/>
      <c r="F14" s="52"/>
      <c r="G14" s="33"/>
      <c r="H14" s="35"/>
      <c r="I14" s="55"/>
      <c r="J14" s="33"/>
      <c r="K14" s="33"/>
      <c r="L14" s="5"/>
      <c r="M14" s="5"/>
      <c r="N14" s="5"/>
      <c r="O14" s="5"/>
      <c r="P14" s="5"/>
      <c r="Q14" s="5"/>
      <c r="R14" s="5"/>
    </row>
    <row r="15" spans="1:19" x14ac:dyDescent="0.25">
      <c r="D15" s="52"/>
      <c r="E15" s="4"/>
      <c r="F15" s="52"/>
      <c r="G15" s="33"/>
      <c r="H15" s="35"/>
      <c r="I15" s="55"/>
      <c r="J15" s="33"/>
      <c r="K15" s="33"/>
      <c r="L15" s="5"/>
      <c r="M15" s="5"/>
      <c r="N15" s="5"/>
      <c r="O15" s="5"/>
      <c r="P15" s="5"/>
      <c r="Q15" s="5"/>
      <c r="R15" s="5"/>
    </row>
    <row r="16" spans="1:19" x14ac:dyDescent="0.25">
      <c r="D16" s="52"/>
      <c r="E16" s="4"/>
      <c r="F16" s="52"/>
      <c r="G16" s="33"/>
      <c r="H16" s="35"/>
      <c r="I16" s="55"/>
      <c r="J16" s="33"/>
      <c r="K16" s="33"/>
      <c r="L16" s="5"/>
      <c r="M16" s="5"/>
      <c r="N16" s="5"/>
      <c r="O16" s="5"/>
      <c r="P16" s="5"/>
      <c r="Q16" s="5"/>
      <c r="R16" s="5"/>
    </row>
    <row r="17" spans="4:18" x14ac:dyDescent="0.25">
      <c r="D17" s="52"/>
      <c r="E17" s="4"/>
      <c r="F17" s="52"/>
      <c r="G17" s="33"/>
      <c r="H17" s="35"/>
      <c r="I17" s="55"/>
      <c r="J17" s="33"/>
      <c r="K17" s="33"/>
      <c r="L17" s="5"/>
      <c r="M17" s="5"/>
      <c r="N17" s="5"/>
      <c r="O17" s="5"/>
      <c r="P17" s="5"/>
      <c r="Q17" s="5"/>
      <c r="R17" s="5"/>
    </row>
    <row r="18" spans="4:18" x14ac:dyDescent="0.25">
      <c r="D18" s="52"/>
      <c r="E18" s="4"/>
      <c r="F18" s="52"/>
      <c r="G18" s="33"/>
      <c r="H18" s="35"/>
      <c r="I18" s="55"/>
      <c r="J18" s="33"/>
      <c r="K18" s="33"/>
      <c r="L18" s="5"/>
      <c r="M18" s="5"/>
      <c r="N18" s="5"/>
      <c r="O18" s="5"/>
      <c r="P18" s="5"/>
      <c r="Q18" s="5"/>
      <c r="R18" s="5"/>
    </row>
    <row r="19" spans="4:18" x14ac:dyDescent="0.25">
      <c r="D19" s="52"/>
      <c r="E19" s="4"/>
      <c r="F19" s="52"/>
      <c r="G19" s="33"/>
      <c r="H19" s="35"/>
      <c r="I19" s="55"/>
      <c r="J19" s="33"/>
      <c r="K19" s="33"/>
      <c r="L19" s="5"/>
      <c r="M19" s="5"/>
      <c r="N19" s="5"/>
      <c r="O19" s="5"/>
      <c r="P19" s="5"/>
      <c r="Q19" s="5"/>
      <c r="R19" s="5"/>
    </row>
    <row r="20" spans="4:18" x14ac:dyDescent="0.25">
      <c r="D20" s="52"/>
      <c r="E20" s="4"/>
      <c r="F20" s="52"/>
      <c r="G20" s="33"/>
      <c r="H20" s="35"/>
      <c r="I20" s="55"/>
      <c r="J20" s="33"/>
      <c r="K20" s="33"/>
      <c r="L20" s="5"/>
      <c r="M20" s="5"/>
      <c r="N20" s="5"/>
      <c r="O20" s="5"/>
      <c r="P20" s="5"/>
      <c r="Q20" s="5"/>
      <c r="R20" s="5"/>
    </row>
    <row r="21" spans="4:18" x14ac:dyDescent="0.25">
      <c r="D21" s="52"/>
      <c r="E21" s="4"/>
      <c r="F21" s="52"/>
      <c r="G21" s="33"/>
      <c r="H21" s="35"/>
      <c r="I21" s="55"/>
      <c r="J21" s="33"/>
      <c r="K21" s="33"/>
      <c r="L21" s="5"/>
      <c r="M21" s="5"/>
      <c r="N21" s="5"/>
      <c r="O21" s="5"/>
      <c r="P21" s="5"/>
      <c r="Q21" s="5"/>
      <c r="R21" s="5"/>
    </row>
    <row r="22" spans="4:18" x14ac:dyDescent="0.25">
      <c r="D22" s="52"/>
      <c r="E22" s="4"/>
      <c r="F22" s="52"/>
      <c r="G22" s="33"/>
      <c r="H22" s="35"/>
      <c r="I22" s="55"/>
      <c r="J22" s="33"/>
      <c r="K22" s="33"/>
      <c r="L22" s="5"/>
      <c r="M22" s="5"/>
      <c r="N22" s="5"/>
      <c r="O22" s="5"/>
      <c r="P22" s="5"/>
      <c r="Q22" s="5"/>
      <c r="R22" s="5"/>
    </row>
    <row r="23" spans="4:18" x14ac:dyDescent="0.25">
      <c r="D23" s="52"/>
      <c r="E23" s="4"/>
      <c r="F23" s="52"/>
      <c r="G23" s="33"/>
      <c r="H23" s="35"/>
      <c r="I23" s="55"/>
      <c r="J23" s="33"/>
      <c r="K23" s="33"/>
      <c r="L23" s="5"/>
      <c r="M23" s="5"/>
      <c r="N23" s="5"/>
      <c r="O23" s="5"/>
      <c r="P23" s="5"/>
      <c r="Q23" s="5"/>
      <c r="R23" s="5"/>
    </row>
    <row r="24" spans="4:18" x14ac:dyDescent="0.25">
      <c r="D24" s="52"/>
      <c r="E24" s="4"/>
      <c r="F24" s="52"/>
      <c r="G24" s="33"/>
      <c r="H24" s="35"/>
      <c r="I24" s="55"/>
      <c r="J24" s="33"/>
      <c r="K24" s="33"/>
      <c r="L24" s="5"/>
      <c r="M24" s="5"/>
      <c r="N24" s="5"/>
      <c r="O24" s="5"/>
      <c r="P24" s="5"/>
      <c r="Q24" s="5"/>
      <c r="R24" s="5"/>
    </row>
    <row r="25" spans="4:18" x14ac:dyDescent="0.25">
      <c r="D25" s="52"/>
      <c r="E25" s="4"/>
      <c r="F25" s="52"/>
      <c r="G25" s="33"/>
      <c r="H25" s="35"/>
      <c r="I25" s="55"/>
      <c r="J25" s="33"/>
      <c r="K25" s="33"/>
      <c r="L25" s="5"/>
      <c r="M25" s="5"/>
      <c r="N25" s="5"/>
      <c r="O25" s="5"/>
      <c r="P25" s="5"/>
      <c r="Q25" s="5"/>
      <c r="R25" s="5"/>
    </row>
    <row r="26" spans="4:18" x14ac:dyDescent="0.25">
      <c r="D26" s="52"/>
      <c r="E26" s="4"/>
      <c r="F26" s="52"/>
      <c r="G26" s="33"/>
      <c r="H26" s="35"/>
      <c r="I26" s="55"/>
      <c r="J26" s="33"/>
      <c r="K26" s="33"/>
      <c r="L26" s="5"/>
      <c r="M26" s="5"/>
      <c r="N26" s="5"/>
      <c r="O26" s="5"/>
      <c r="P26" s="5"/>
      <c r="Q26" s="5"/>
      <c r="R26" s="5"/>
    </row>
    <row r="27" spans="4:18" x14ac:dyDescent="0.25">
      <c r="D27" s="52"/>
      <c r="E27" s="4"/>
      <c r="F27" s="52"/>
      <c r="G27" s="33"/>
      <c r="H27" s="35"/>
      <c r="I27" s="55"/>
      <c r="J27" s="33"/>
      <c r="K27" s="33"/>
      <c r="L27" s="5"/>
      <c r="M27" s="5"/>
      <c r="N27" s="5"/>
      <c r="O27" s="5"/>
      <c r="P27" s="5"/>
      <c r="Q27" s="5"/>
      <c r="R27" s="5"/>
    </row>
    <row r="28" spans="4:18" x14ac:dyDescent="0.25">
      <c r="D28" s="52"/>
      <c r="E28" s="4"/>
      <c r="F28" s="52"/>
      <c r="G28" s="33"/>
      <c r="H28" s="35"/>
      <c r="I28" s="55"/>
      <c r="J28" s="33"/>
      <c r="K28" s="33"/>
      <c r="L28" s="5"/>
      <c r="M28" s="5"/>
      <c r="N28" s="5"/>
      <c r="O28" s="5"/>
      <c r="P28" s="5"/>
      <c r="Q28" s="5"/>
      <c r="R28" s="5"/>
    </row>
    <row r="29" spans="4:18" x14ac:dyDescent="0.25">
      <c r="D29" s="52"/>
      <c r="E29" s="4"/>
      <c r="F29" s="52"/>
      <c r="G29" s="33"/>
      <c r="H29" s="35"/>
      <c r="I29" s="55"/>
      <c r="J29" s="33"/>
      <c r="K29" s="33"/>
      <c r="L29" s="5"/>
      <c r="M29" s="5"/>
      <c r="N29" s="5"/>
      <c r="O29" s="5"/>
      <c r="P29" s="5"/>
      <c r="Q29" s="5"/>
      <c r="R29" s="5"/>
    </row>
    <row r="30" spans="4:18" x14ac:dyDescent="0.25">
      <c r="D30" s="52"/>
      <c r="E30" s="4"/>
      <c r="F30" s="52"/>
      <c r="G30" s="33"/>
      <c r="H30" s="35"/>
      <c r="I30" s="55"/>
      <c r="J30" s="33"/>
      <c r="K30" s="33"/>
      <c r="L30" s="5"/>
      <c r="M30" s="5"/>
      <c r="N30" s="5"/>
      <c r="O30" s="5"/>
      <c r="P30" s="5"/>
      <c r="Q30" s="5"/>
      <c r="R30" s="5"/>
    </row>
    <row r="31" spans="4:18" x14ac:dyDescent="0.25">
      <c r="D31" s="52"/>
      <c r="E31" s="4"/>
      <c r="F31" s="52"/>
      <c r="G31" s="33"/>
      <c r="H31" s="35"/>
      <c r="I31" s="55"/>
      <c r="J31" s="33"/>
      <c r="K31" s="33"/>
      <c r="L31" s="5"/>
      <c r="M31" s="5"/>
      <c r="N31" s="5"/>
      <c r="O31" s="5"/>
      <c r="P31" s="5"/>
      <c r="Q31" s="5"/>
      <c r="R31" s="5"/>
    </row>
    <row r="32" spans="4:18" x14ac:dyDescent="0.25">
      <c r="D32" s="52"/>
      <c r="E32" s="4"/>
      <c r="F32" s="52"/>
      <c r="G32" s="33"/>
      <c r="H32" s="35"/>
      <c r="I32" s="55"/>
      <c r="J32" s="33"/>
      <c r="K32" s="33"/>
      <c r="L32" s="5"/>
      <c r="M32" s="5"/>
      <c r="N32" s="5"/>
      <c r="O32" s="5"/>
      <c r="P32" s="5"/>
      <c r="Q32" s="5"/>
      <c r="R32" s="5"/>
    </row>
    <row r="33" spans="4:18" x14ac:dyDescent="0.25">
      <c r="D33" s="52"/>
      <c r="E33" s="4"/>
      <c r="F33" s="52"/>
      <c r="G33" s="33"/>
      <c r="H33" s="35"/>
      <c r="I33" s="55"/>
      <c r="J33" s="33"/>
      <c r="K33" s="33"/>
      <c r="L33" s="5"/>
      <c r="M33" s="5"/>
      <c r="N33" s="5"/>
      <c r="O33" s="5"/>
      <c r="P33" s="5"/>
      <c r="Q33" s="5"/>
      <c r="R33" s="5"/>
    </row>
    <row r="34" spans="4:18" x14ac:dyDescent="0.25">
      <c r="D34" s="52"/>
      <c r="E34" s="4"/>
      <c r="F34" s="52"/>
      <c r="G34" s="33"/>
      <c r="H34" s="35"/>
      <c r="I34" s="55"/>
      <c r="J34" s="33"/>
      <c r="K34" s="33"/>
      <c r="L34" s="5"/>
      <c r="M34" s="5"/>
      <c r="N34" s="5"/>
      <c r="O34" s="5"/>
      <c r="P34" s="5"/>
      <c r="Q34" s="5"/>
      <c r="R34" s="5"/>
    </row>
    <row r="35" spans="4:18" x14ac:dyDescent="0.25">
      <c r="D35" s="52"/>
      <c r="E35" s="4"/>
      <c r="F35" s="52"/>
      <c r="G35" s="33"/>
      <c r="H35" s="35"/>
      <c r="I35" s="55"/>
      <c r="J35" s="33"/>
      <c r="K35" s="33"/>
      <c r="L35" s="5"/>
      <c r="M35" s="5"/>
      <c r="N35" s="5"/>
      <c r="O35" s="5"/>
      <c r="P35" s="5"/>
      <c r="Q35" s="5"/>
      <c r="R35" s="5"/>
    </row>
    <row r="36" spans="4:18" x14ac:dyDescent="0.25">
      <c r="D36" s="52"/>
      <c r="E36" s="4"/>
      <c r="F36" s="52"/>
      <c r="G36" s="33"/>
      <c r="H36" s="35"/>
      <c r="I36" s="55"/>
      <c r="J36" s="33"/>
      <c r="K36" s="33"/>
      <c r="L36" s="5"/>
      <c r="M36" s="5"/>
      <c r="N36" s="5"/>
      <c r="O36" s="5"/>
      <c r="P36" s="5"/>
      <c r="Q36" s="5"/>
      <c r="R36" s="5"/>
    </row>
    <row r="37" spans="4:18" x14ac:dyDescent="0.25">
      <c r="D37" s="52"/>
      <c r="E37" s="4"/>
      <c r="F37" s="52"/>
      <c r="G37" s="33"/>
      <c r="H37" s="35"/>
      <c r="I37" s="55"/>
      <c r="J37" s="33"/>
      <c r="K37" s="33"/>
      <c r="L37" s="5"/>
      <c r="M37" s="5"/>
      <c r="N37" s="5"/>
      <c r="O37" s="5"/>
      <c r="P37" s="5"/>
      <c r="Q37" s="5"/>
      <c r="R37" s="5"/>
    </row>
    <row r="38" spans="4:18" x14ac:dyDescent="0.25">
      <c r="D38" s="52"/>
      <c r="E38" s="4"/>
      <c r="F38" s="52"/>
      <c r="G38" s="33"/>
      <c r="H38" s="35"/>
      <c r="I38" s="55"/>
      <c r="J38" s="33"/>
      <c r="K38" s="33"/>
      <c r="L38" s="5"/>
      <c r="M38" s="5"/>
      <c r="N38" s="5"/>
      <c r="O38" s="5"/>
      <c r="P38" s="5"/>
      <c r="Q38" s="5"/>
      <c r="R38" s="5"/>
    </row>
    <row r="39" spans="4:18" x14ac:dyDescent="0.25">
      <c r="D39" s="52"/>
      <c r="E39" s="4"/>
      <c r="F39" s="52"/>
      <c r="G39" s="33"/>
      <c r="H39" s="35"/>
      <c r="I39" s="55"/>
      <c r="J39" s="33"/>
      <c r="K39" s="33"/>
      <c r="L39" s="5"/>
      <c r="M39" s="5"/>
      <c r="N39" s="5"/>
      <c r="O39" s="5"/>
      <c r="P39" s="5"/>
      <c r="Q39" s="5"/>
      <c r="R39" s="5"/>
    </row>
    <row r="40" spans="4:18" x14ac:dyDescent="0.25">
      <c r="D40" s="52"/>
      <c r="E40" s="4"/>
      <c r="F40" s="52"/>
      <c r="G40" s="33"/>
      <c r="H40" s="35"/>
      <c r="I40" s="55"/>
      <c r="J40" s="33"/>
      <c r="K40" s="33"/>
      <c r="L40" s="5"/>
      <c r="M40" s="5"/>
      <c r="N40" s="5"/>
      <c r="O40" s="5"/>
      <c r="P40" s="5"/>
      <c r="Q40" s="5"/>
      <c r="R40" s="5"/>
    </row>
    <row r="41" spans="4:18" x14ac:dyDescent="0.25">
      <c r="D41" s="52"/>
      <c r="E41" s="4"/>
      <c r="F41" s="52"/>
      <c r="G41" s="33"/>
      <c r="H41" s="35"/>
      <c r="I41" s="55"/>
      <c r="J41" s="33"/>
      <c r="K41" s="33"/>
      <c r="L41" s="5"/>
      <c r="M41" s="5"/>
      <c r="N41" s="5"/>
      <c r="O41" s="5"/>
      <c r="P41" s="5"/>
      <c r="Q41" s="5"/>
      <c r="R41" s="5"/>
    </row>
    <row r="42" spans="4:18" x14ac:dyDescent="0.25">
      <c r="D42" s="52"/>
      <c r="E42" s="4"/>
      <c r="F42" s="52"/>
      <c r="G42" s="33"/>
      <c r="H42" s="35"/>
      <c r="I42" s="55"/>
      <c r="J42" s="33"/>
      <c r="K42" s="33"/>
      <c r="L42" s="5"/>
      <c r="M42" s="5"/>
      <c r="N42" s="5"/>
      <c r="O42" s="5"/>
      <c r="P42" s="5"/>
      <c r="Q42" s="5"/>
      <c r="R42" s="5"/>
    </row>
    <row r="43" spans="4:18" x14ac:dyDescent="0.25">
      <c r="D43" s="52"/>
      <c r="E43" s="4"/>
      <c r="F43" s="52"/>
      <c r="G43" s="33"/>
      <c r="H43" s="35"/>
      <c r="I43" s="55"/>
      <c r="J43" s="33"/>
      <c r="K43" s="33"/>
      <c r="L43" s="5"/>
      <c r="M43" s="5"/>
      <c r="N43" s="5"/>
      <c r="O43" s="5"/>
      <c r="P43" s="5"/>
      <c r="Q43" s="5"/>
      <c r="R43" s="5"/>
    </row>
    <row r="44" spans="4:18" x14ac:dyDescent="0.25">
      <c r="D44" s="52"/>
      <c r="E44" s="4"/>
      <c r="F44" s="52"/>
      <c r="G44" s="33"/>
      <c r="H44" s="35"/>
      <c r="I44" s="55"/>
      <c r="J44" s="33"/>
      <c r="K44" s="33"/>
      <c r="L44" s="5"/>
      <c r="M44" s="5"/>
      <c r="N44" s="5"/>
      <c r="O44" s="5"/>
      <c r="P44" s="5"/>
      <c r="Q44" s="5"/>
      <c r="R44" s="5"/>
    </row>
    <row r="45" spans="4:18" x14ac:dyDescent="0.25">
      <c r="D45" s="52"/>
      <c r="E45" s="4"/>
      <c r="F45" s="52"/>
      <c r="G45" s="33"/>
      <c r="H45" s="35"/>
      <c r="I45" s="55"/>
      <c r="J45" s="33"/>
      <c r="K45" s="33"/>
      <c r="L45" s="5"/>
      <c r="M45" s="5"/>
      <c r="N45" s="5"/>
      <c r="O45" s="5"/>
      <c r="P45" s="5"/>
      <c r="Q45" s="5"/>
      <c r="R45" s="5"/>
    </row>
    <row r="46" spans="4:18" x14ac:dyDescent="0.25">
      <c r="D46" s="52"/>
      <c r="E46" s="4"/>
      <c r="F46" s="52"/>
      <c r="G46" s="33"/>
      <c r="H46" s="35"/>
      <c r="I46" s="55"/>
      <c r="J46" s="33"/>
      <c r="K46" s="33"/>
      <c r="L46" s="5"/>
      <c r="M46" s="5"/>
      <c r="N46" s="5"/>
      <c r="O46" s="5"/>
      <c r="P46" s="5"/>
      <c r="Q46" s="5"/>
      <c r="R46" s="5"/>
    </row>
    <row r="47" spans="4:18" x14ac:dyDescent="0.25">
      <c r="D47" s="52"/>
      <c r="E47" s="4"/>
      <c r="F47" s="52"/>
      <c r="G47" s="33"/>
      <c r="H47" s="35"/>
      <c r="I47" s="55"/>
      <c r="J47" s="33"/>
      <c r="K47" s="33"/>
      <c r="L47" s="5"/>
      <c r="M47" s="5"/>
      <c r="N47" s="5"/>
      <c r="O47" s="5"/>
      <c r="P47" s="5"/>
      <c r="Q47" s="5"/>
      <c r="R47" s="5"/>
    </row>
    <row r="48" spans="4:18" x14ac:dyDescent="0.25">
      <c r="D48" s="52"/>
      <c r="E48" s="4"/>
      <c r="F48" s="52"/>
      <c r="G48" s="33"/>
      <c r="H48" s="35"/>
      <c r="I48" s="55"/>
      <c r="J48" s="33"/>
      <c r="K48" s="33"/>
      <c r="L48" s="5"/>
      <c r="M48" s="5"/>
      <c r="N48" s="5"/>
      <c r="O48" s="5"/>
      <c r="P48" s="5"/>
      <c r="Q48" s="5"/>
      <c r="R48" s="5"/>
    </row>
    <row r="49" spans="4:18" x14ac:dyDescent="0.25">
      <c r="D49" s="52"/>
      <c r="E49" s="4"/>
      <c r="F49" s="52"/>
      <c r="G49" s="33"/>
      <c r="H49" s="35"/>
      <c r="I49" s="55"/>
      <c r="J49" s="33"/>
      <c r="K49" s="33"/>
      <c r="L49" s="5"/>
      <c r="M49" s="5"/>
      <c r="N49" s="5"/>
      <c r="O49" s="5"/>
      <c r="P49" s="5"/>
      <c r="Q49" s="5"/>
      <c r="R49" s="5"/>
    </row>
    <row r="50" spans="4:18" x14ac:dyDescent="0.25">
      <c r="D50" s="52"/>
      <c r="E50" s="4"/>
      <c r="F50" s="52"/>
      <c r="G50" s="33"/>
      <c r="H50" s="35"/>
      <c r="I50" s="55"/>
      <c r="J50" s="33"/>
      <c r="K50" s="33"/>
      <c r="L50" s="5"/>
      <c r="M50" s="5"/>
      <c r="N50" s="5"/>
      <c r="O50" s="5"/>
      <c r="P50" s="5"/>
      <c r="Q50" s="5"/>
      <c r="R50" s="5"/>
    </row>
    <row r="51" spans="4:18" x14ac:dyDescent="0.25">
      <c r="D51" s="52"/>
      <c r="E51" s="4"/>
      <c r="F51" s="52"/>
      <c r="G51" s="33"/>
      <c r="H51" s="35"/>
      <c r="I51" s="55"/>
      <c r="J51" s="33"/>
      <c r="K51" s="33"/>
      <c r="L51" s="5"/>
      <c r="M51" s="5"/>
      <c r="N51" s="5"/>
      <c r="O51" s="5"/>
      <c r="P51" s="5"/>
      <c r="Q51" s="5"/>
      <c r="R51" s="5"/>
    </row>
    <row r="52" spans="4:18" x14ac:dyDescent="0.25">
      <c r="D52" s="52"/>
      <c r="E52" s="4"/>
      <c r="F52" s="52"/>
      <c r="G52" s="33"/>
      <c r="H52" s="35"/>
      <c r="I52" s="55"/>
      <c r="J52" s="33"/>
      <c r="K52" s="33"/>
      <c r="L52" s="5"/>
      <c r="M52" s="5"/>
      <c r="N52" s="5"/>
      <c r="O52" s="5"/>
      <c r="P52" s="5"/>
      <c r="Q52" s="5"/>
      <c r="R52" s="5"/>
    </row>
    <row r="53" spans="4:18" x14ac:dyDescent="0.25">
      <c r="D53" s="52"/>
      <c r="E53" s="4"/>
      <c r="F53" s="52"/>
      <c r="G53" s="33"/>
      <c r="H53" s="35"/>
      <c r="I53" s="55"/>
      <c r="J53" s="33"/>
      <c r="K53" s="33"/>
      <c r="L53" s="5"/>
      <c r="M53" s="5"/>
      <c r="N53" s="5"/>
      <c r="O53" s="5"/>
      <c r="P53" s="5"/>
      <c r="Q53" s="5"/>
      <c r="R53" s="5"/>
    </row>
    <row r="54" spans="4:18" x14ac:dyDescent="0.25">
      <c r="D54" s="52"/>
      <c r="E54" s="4"/>
      <c r="F54" s="52"/>
      <c r="G54" s="33"/>
      <c r="H54" s="35"/>
      <c r="I54" s="55"/>
      <c r="J54" s="33"/>
      <c r="K54" s="33"/>
      <c r="L54" s="5"/>
      <c r="M54" s="5"/>
      <c r="N54" s="5"/>
      <c r="O54" s="5"/>
      <c r="P54" s="5"/>
      <c r="Q54" s="5"/>
      <c r="R54" s="5"/>
    </row>
    <row r="55" spans="4:18" x14ac:dyDescent="0.25">
      <c r="D55" s="52"/>
      <c r="E55" s="4"/>
      <c r="F55" s="52"/>
      <c r="G55" s="33"/>
      <c r="H55" s="35"/>
      <c r="I55" s="55"/>
      <c r="J55" s="33"/>
      <c r="K55" s="33"/>
      <c r="L55" s="5"/>
      <c r="M55" s="5"/>
      <c r="N55" s="5"/>
      <c r="O55" s="5"/>
      <c r="P55" s="5"/>
      <c r="Q55" s="5"/>
      <c r="R55" s="5"/>
    </row>
    <row r="56" spans="4:18" x14ac:dyDescent="0.25">
      <c r="D56" s="52"/>
      <c r="E56" s="4"/>
      <c r="F56" s="52"/>
      <c r="G56" s="33"/>
      <c r="H56" s="35"/>
      <c r="I56" s="55"/>
      <c r="J56" s="33"/>
      <c r="K56" s="33"/>
      <c r="L56" s="5"/>
      <c r="M56" s="5"/>
      <c r="N56" s="5"/>
      <c r="O56" s="5"/>
      <c r="P56" s="5"/>
      <c r="Q56" s="5"/>
      <c r="R56" s="5"/>
    </row>
    <row r="57" spans="4:18" x14ac:dyDescent="0.25">
      <c r="D57" s="52"/>
      <c r="E57" s="4"/>
      <c r="F57" s="52"/>
      <c r="G57" s="33"/>
      <c r="H57" s="35"/>
      <c r="I57" s="55"/>
      <c r="J57" s="33"/>
      <c r="K57" s="33"/>
      <c r="L57" s="5"/>
      <c r="M57" s="5"/>
      <c r="N57" s="5"/>
      <c r="O57" s="5"/>
      <c r="P57" s="5"/>
      <c r="Q57" s="5"/>
      <c r="R57" s="5"/>
    </row>
    <row r="58" spans="4:18" x14ac:dyDescent="0.25">
      <c r="D58" s="52"/>
      <c r="E58" s="4"/>
      <c r="F58" s="52"/>
      <c r="G58" s="33"/>
      <c r="H58" s="35"/>
      <c r="I58" s="55"/>
      <c r="J58" s="33"/>
      <c r="K58" s="33"/>
      <c r="L58" s="5"/>
      <c r="M58" s="5"/>
      <c r="N58" s="5"/>
      <c r="O58" s="5"/>
      <c r="P58" s="5"/>
      <c r="Q58" s="5"/>
      <c r="R58" s="5"/>
    </row>
    <row r="59" spans="4:18" x14ac:dyDescent="0.25">
      <c r="D59" s="52"/>
      <c r="E59" s="4"/>
      <c r="F59" s="52"/>
      <c r="G59" s="33"/>
      <c r="H59" s="35"/>
      <c r="I59" s="55"/>
      <c r="J59" s="33"/>
      <c r="K59" s="33"/>
      <c r="L59" s="5"/>
      <c r="M59" s="5"/>
      <c r="N59" s="5"/>
      <c r="O59" s="5"/>
      <c r="P59" s="5"/>
      <c r="Q59" s="5"/>
      <c r="R59" s="5"/>
    </row>
    <row r="60" spans="4:18" x14ac:dyDescent="0.25">
      <c r="D60" s="52"/>
      <c r="E60" s="4"/>
      <c r="F60" s="52"/>
      <c r="G60" s="33"/>
      <c r="H60" s="35"/>
      <c r="I60" s="55"/>
      <c r="J60" s="33"/>
      <c r="K60" s="33"/>
      <c r="L60" s="5"/>
      <c r="M60" s="5"/>
      <c r="N60" s="5"/>
      <c r="O60" s="5"/>
      <c r="P60" s="5"/>
      <c r="Q60" s="5"/>
      <c r="R60" s="5"/>
    </row>
    <row r="61" spans="4:18" x14ac:dyDescent="0.25">
      <c r="D61" s="52"/>
      <c r="E61" s="4"/>
      <c r="F61" s="52"/>
      <c r="G61" s="33"/>
      <c r="H61" s="35"/>
      <c r="I61" s="55"/>
      <c r="J61" s="33"/>
      <c r="K61" s="33"/>
      <c r="L61" s="5"/>
      <c r="M61" s="5"/>
      <c r="N61" s="5"/>
      <c r="O61" s="5"/>
      <c r="P61" s="5"/>
      <c r="Q61" s="5"/>
      <c r="R61" s="5"/>
    </row>
    <row r="62" spans="4:18" x14ac:dyDescent="0.25">
      <c r="D62" s="52"/>
      <c r="E62" s="4"/>
      <c r="F62" s="52"/>
      <c r="G62" s="33"/>
      <c r="H62" s="35"/>
      <c r="I62" s="55"/>
      <c r="J62" s="33"/>
      <c r="K62" s="33"/>
      <c r="L62" s="5"/>
      <c r="M62" s="5"/>
      <c r="N62" s="5"/>
      <c r="O62" s="5"/>
      <c r="P62" s="5"/>
      <c r="Q62" s="5"/>
      <c r="R62" s="5"/>
    </row>
    <row r="63" spans="4:18" x14ac:dyDescent="0.25">
      <c r="D63" s="52"/>
      <c r="E63" s="4"/>
      <c r="F63" s="52"/>
      <c r="G63" s="33"/>
      <c r="H63" s="35"/>
      <c r="I63" s="55"/>
      <c r="J63" s="33"/>
      <c r="K63" s="33"/>
      <c r="L63" s="5"/>
      <c r="M63" s="5"/>
      <c r="N63" s="5"/>
      <c r="O63" s="5"/>
      <c r="P63" s="5"/>
      <c r="Q63" s="5"/>
      <c r="R63" s="5"/>
    </row>
    <row r="64" spans="4:18" x14ac:dyDescent="0.25">
      <c r="D64" s="52"/>
      <c r="E64" s="4"/>
      <c r="F64" s="52"/>
      <c r="G64" s="33"/>
      <c r="H64" s="35"/>
      <c r="I64" s="55"/>
      <c r="J64" s="33"/>
      <c r="K64" s="33"/>
      <c r="L64" s="5"/>
      <c r="M64" s="5"/>
      <c r="N64" s="5"/>
      <c r="O64" s="5"/>
      <c r="P64" s="5"/>
      <c r="Q64" s="5"/>
      <c r="R64" s="5"/>
    </row>
    <row r="65" spans="4:18" x14ac:dyDescent="0.25">
      <c r="D65" s="52"/>
      <c r="E65" s="4"/>
      <c r="F65" s="52"/>
      <c r="G65" s="33"/>
      <c r="H65" s="35"/>
      <c r="I65" s="55"/>
      <c r="J65" s="33"/>
      <c r="K65" s="33"/>
      <c r="L65" s="5"/>
      <c r="M65" s="5"/>
      <c r="N65" s="5"/>
      <c r="O65" s="5"/>
      <c r="P65" s="5"/>
      <c r="Q65" s="5"/>
      <c r="R65" s="5"/>
    </row>
    <row r="66" spans="4:18" x14ac:dyDescent="0.25">
      <c r="D66" s="52"/>
      <c r="E66" s="4"/>
      <c r="F66" s="52"/>
      <c r="G66" s="33"/>
      <c r="H66" s="35"/>
      <c r="I66" s="55"/>
      <c r="J66" s="33"/>
      <c r="K66" s="33"/>
      <c r="L66" s="5"/>
      <c r="M66" s="5"/>
      <c r="N66" s="5"/>
      <c r="O66" s="5"/>
      <c r="P66" s="5"/>
      <c r="Q66" s="5"/>
      <c r="R66" s="5"/>
    </row>
    <row r="67" spans="4:18" x14ac:dyDescent="0.25">
      <c r="D67" s="52"/>
      <c r="E67" s="4"/>
      <c r="F67" s="52"/>
      <c r="G67" s="33"/>
      <c r="H67" s="35"/>
      <c r="I67" s="55"/>
      <c r="J67" s="33"/>
      <c r="K67" s="33"/>
      <c r="L67" s="5"/>
      <c r="M67" s="5"/>
      <c r="N67" s="5"/>
      <c r="O67" s="5"/>
      <c r="P67" s="5"/>
      <c r="Q67" s="5"/>
      <c r="R67" s="5"/>
    </row>
    <row r="68" spans="4:18" x14ac:dyDescent="0.25">
      <c r="D68" s="52"/>
      <c r="E68" s="4"/>
      <c r="F68" s="52"/>
      <c r="G68" s="33"/>
      <c r="H68" s="35"/>
      <c r="I68" s="55"/>
      <c r="J68" s="33"/>
      <c r="K68" s="33"/>
      <c r="L68" s="5"/>
      <c r="M68" s="5"/>
      <c r="N68" s="5"/>
      <c r="O68" s="5"/>
      <c r="P68" s="5"/>
      <c r="Q68" s="5"/>
      <c r="R68" s="5"/>
    </row>
    <row r="69" spans="4:18" x14ac:dyDescent="0.25">
      <c r="D69" s="52"/>
      <c r="E69" s="4"/>
      <c r="F69" s="52"/>
      <c r="G69" s="33"/>
      <c r="H69" s="35"/>
      <c r="I69" s="55"/>
      <c r="J69" s="33"/>
      <c r="K69" s="33"/>
      <c r="L69" s="5"/>
      <c r="M69" s="5"/>
      <c r="N69" s="5"/>
      <c r="O69" s="5"/>
      <c r="P69" s="5"/>
      <c r="Q69" s="5"/>
      <c r="R69" s="5"/>
    </row>
    <row r="70" spans="4:18" x14ac:dyDescent="0.25">
      <c r="D70" s="52"/>
      <c r="E70" s="4"/>
      <c r="F70" s="52"/>
      <c r="G70" s="33"/>
      <c r="H70" s="35"/>
      <c r="I70" s="55"/>
      <c r="J70" s="33"/>
      <c r="K70" s="33"/>
      <c r="L70" s="5"/>
      <c r="M70" s="5"/>
      <c r="N70" s="5"/>
      <c r="O70" s="5"/>
      <c r="P70" s="5"/>
      <c r="Q70" s="5"/>
      <c r="R70" s="5"/>
    </row>
    <row r="71" spans="4:18" x14ac:dyDescent="0.25">
      <c r="D71" s="52"/>
      <c r="E71" s="4"/>
      <c r="F71" s="52"/>
      <c r="G71" s="33"/>
      <c r="H71" s="35"/>
      <c r="I71" s="55"/>
      <c r="J71" s="33"/>
      <c r="K71" s="33"/>
      <c r="L71" s="5"/>
      <c r="M71" s="5"/>
      <c r="N71" s="5"/>
      <c r="O71" s="5"/>
      <c r="P71" s="5"/>
      <c r="Q71" s="5"/>
      <c r="R71" s="5"/>
    </row>
    <row r="72" spans="4:18" x14ac:dyDescent="0.25">
      <c r="D72" s="52"/>
      <c r="E72" s="4"/>
      <c r="F72" s="52"/>
      <c r="G72" s="33"/>
      <c r="H72" s="35"/>
      <c r="I72" s="55"/>
      <c r="J72" s="33"/>
      <c r="K72" s="33"/>
      <c r="L72" s="5"/>
      <c r="M72" s="5"/>
      <c r="N72" s="5"/>
      <c r="O72" s="5"/>
      <c r="P72" s="5"/>
      <c r="Q72" s="5"/>
      <c r="R72" s="5"/>
    </row>
    <row r="73" spans="4:18" x14ac:dyDescent="0.25">
      <c r="D73" s="52"/>
      <c r="E73" s="4"/>
      <c r="F73" s="52"/>
      <c r="G73" s="33"/>
      <c r="H73" s="35"/>
      <c r="I73" s="55"/>
      <c r="J73" s="33"/>
      <c r="K73" s="33"/>
      <c r="L73" s="5"/>
      <c r="M73" s="5"/>
      <c r="N73" s="5"/>
      <c r="O73" s="5"/>
      <c r="P73" s="5"/>
      <c r="Q73" s="5"/>
      <c r="R73" s="5"/>
    </row>
    <row r="74" spans="4:18" x14ac:dyDescent="0.25">
      <c r="D74" s="52"/>
      <c r="E74" s="4"/>
      <c r="F74" s="52"/>
      <c r="G74" s="33"/>
      <c r="H74" s="35"/>
      <c r="I74" s="55"/>
      <c r="J74" s="33"/>
      <c r="K74" s="33"/>
      <c r="L74" s="5"/>
      <c r="M74" s="5"/>
      <c r="N74" s="5"/>
      <c r="O74" s="5"/>
      <c r="P74" s="5"/>
      <c r="Q74" s="5"/>
      <c r="R74" s="5"/>
    </row>
    <row r="75" spans="4:18" x14ac:dyDescent="0.25">
      <c r="D75" s="52"/>
      <c r="E75" s="4"/>
      <c r="F75" s="52"/>
      <c r="G75" s="33"/>
      <c r="H75" s="35"/>
      <c r="I75" s="55"/>
      <c r="J75" s="33"/>
      <c r="K75" s="33"/>
      <c r="L75" s="5"/>
      <c r="M75" s="5"/>
      <c r="N75" s="5"/>
      <c r="O75" s="5"/>
      <c r="P75" s="5"/>
      <c r="Q75" s="5"/>
      <c r="R75" s="5"/>
    </row>
    <row r="76" spans="4:18" x14ac:dyDescent="0.25">
      <c r="D76" s="52"/>
      <c r="E76" s="4"/>
      <c r="F76" s="52"/>
      <c r="G76" s="33"/>
      <c r="H76" s="35"/>
      <c r="I76" s="55"/>
      <c r="J76" s="33"/>
      <c r="K76" s="33"/>
      <c r="L76" s="5"/>
      <c r="M76" s="5"/>
      <c r="N76" s="5"/>
      <c r="O76" s="5"/>
      <c r="P76" s="5"/>
      <c r="Q76" s="5"/>
      <c r="R76" s="5"/>
    </row>
    <row r="77" spans="4:18" x14ac:dyDescent="0.25">
      <c r="D77" s="52"/>
      <c r="E77" s="4"/>
      <c r="F77" s="52"/>
      <c r="G77" s="33"/>
      <c r="H77" s="35"/>
      <c r="I77" s="55"/>
      <c r="J77" s="33"/>
      <c r="K77" s="33"/>
      <c r="L77" s="5"/>
      <c r="M77" s="5"/>
      <c r="N77" s="5"/>
      <c r="O77" s="5"/>
      <c r="P77" s="5"/>
      <c r="Q77" s="5"/>
      <c r="R77" s="5"/>
    </row>
    <row r="78" spans="4:18" x14ac:dyDescent="0.25">
      <c r="D78" s="52"/>
      <c r="E78" s="4"/>
      <c r="F78" s="52"/>
      <c r="G78" s="33"/>
      <c r="H78" s="35"/>
      <c r="I78" s="55"/>
      <c r="J78" s="33"/>
      <c r="K78" s="33"/>
      <c r="L78" s="5"/>
      <c r="M78" s="5"/>
      <c r="N78" s="5"/>
      <c r="O78" s="5"/>
      <c r="P78" s="5"/>
      <c r="Q78" s="5"/>
      <c r="R78" s="5"/>
    </row>
    <row r="79" spans="4:18" x14ac:dyDescent="0.25">
      <c r="D79" s="52"/>
      <c r="E79" s="4"/>
      <c r="F79" s="52"/>
      <c r="G79" s="33"/>
      <c r="H79" s="35"/>
      <c r="I79" s="55"/>
      <c r="J79" s="33"/>
      <c r="K79" s="33"/>
      <c r="L79" s="5"/>
      <c r="M79" s="5"/>
      <c r="N79" s="5"/>
      <c r="O79" s="5"/>
      <c r="P79" s="5"/>
      <c r="Q79" s="5"/>
      <c r="R79" s="5"/>
    </row>
    <row r="80" spans="4:18" x14ac:dyDescent="0.25">
      <c r="D80" s="52"/>
      <c r="E80" s="4"/>
      <c r="F80" s="52"/>
      <c r="G80" s="33"/>
      <c r="H80" s="35"/>
      <c r="I80" s="55"/>
      <c r="J80" s="33"/>
      <c r="K80" s="33"/>
      <c r="L80" s="5"/>
      <c r="M80" s="5"/>
      <c r="N80" s="5"/>
      <c r="O80" s="5"/>
      <c r="P80" s="5"/>
      <c r="Q80" s="5"/>
      <c r="R80" s="5"/>
    </row>
    <row r="81" spans="4:18" x14ac:dyDescent="0.25">
      <c r="D81" s="52"/>
      <c r="E81" s="4"/>
      <c r="F81" s="52"/>
      <c r="G81" s="33"/>
      <c r="H81" s="35"/>
      <c r="I81" s="55"/>
      <c r="J81" s="33"/>
      <c r="K81" s="33"/>
      <c r="L81" s="5"/>
      <c r="M81" s="5"/>
      <c r="N81" s="5"/>
      <c r="O81" s="5"/>
      <c r="P81" s="5"/>
      <c r="Q81" s="5"/>
      <c r="R81" s="5"/>
    </row>
    <row r="82" spans="4:18" x14ac:dyDescent="0.25">
      <c r="D82" s="52"/>
      <c r="E82" s="4"/>
      <c r="F82" s="52"/>
      <c r="G82" s="33"/>
      <c r="H82" s="35"/>
      <c r="I82" s="55"/>
      <c r="J82" s="33"/>
      <c r="K82" s="33"/>
      <c r="L82" s="5"/>
      <c r="M82" s="5"/>
      <c r="N82" s="5"/>
      <c r="O82" s="5"/>
      <c r="P82" s="5"/>
      <c r="Q82" s="5"/>
      <c r="R82" s="5"/>
    </row>
    <row r="83" spans="4:18" x14ac:dyDescent="0.25">
      <c r="D83" s="52"/>
      <c r="E83" s="4"/>
      <c r="F83" s="52"/>
      <c r="G83" s="33"/>
      <c r="H83" s="35"/>
      <c r="I83" s="55"/>
      <c r="J83" s="33"/>
      <c r="K83" s="33"/>
      <c r="L83" s="5"/>
      <c r="M83" s="5"/>
      <c r="N83" s="5"/>
      <c r="O83" s="5"/>
      <c r="P83" s="5"/>
      <c r="Q83" s="5"/>
      <c r="R83" s="5"/>
    </row>
    <row r="84" spans="4:18" x14ac:dyDescent="0.25">
      <c r="D84" s="52"/>
      <c r="E84" s="4"/>
      <c r="F84" s="52"/>
      <c r="G84" s="33"/>
      <c r="H84" s="35"/>
      <c r="I84" s="55"/>
      <c r="J84" s="33"/>
      <c r="K84" s="33"/>
      <c r="L84" s="5"/>
      <c r="M84" s="5"/>
      <c r="N84" s="5"/>
      <c r="O84" s="5"/>
      <c r="P84" s="5"/>
      <c r="Q84" s="5"/>
      <c r="R84" s="5"/>
    </row>
    <row r="85" spans="4:18" x14ac:dyDescent="0.25">
      <c r="D85" s="52"/>
      <c r="E85" s="4"/>
      <c r="F85" s="52"/>
      <c r="G85" s="33"/>
      <c r="H85" s="35"/>
      <c r="I85" s="55"/>
      <c r="J85" s="33"/>
      <c r="K85" s="33"/>
      <c r="L85" s="5"/>
      <c r="M85" s="5"/>
      <c r="N85" s="5"/>
      <c r="O85" s="5"/>
      <c r="P85" s="5"/>
      <c r="Q85" s="5"/>
      <c r="R85" s="5"/>
    </row>
    <row r="86" spans="4:18" x14ac:dyDescent="0.25">
      <c r="D86" s="52"/>
      <c r="E86" s="4"/>
      <c r="F86" s="52"/>
      <c r="G86" s="33"/>
      <c r="H86" s="35"/>
      <c r="I86" s="55"/>
      <c r="J86" s="33"/>
      <c r="K86" s="33"/>
      <c r="L86" s="5"/>
      <c r="M86" s="5"/>
      <c r="N86" s="5"/>
      <c r="O86" s="5"/>
      <c r="P86" s="5"/>
      <c r="Q86" s="5"/>
      <c r="R86" s="5"/>
    </row>
    <row r="87" spans="4:18" x14ac:dyDescent="0.25">
      <c r="D87" s="52"/>
      <c r="E87" s="4"/>
      <c r="F87" s="52"/>
      <c r="G87" s="33"/>
      <c r="H87" s="35"/>
      <c r="I87" s="55"/>
      <c r="J87" s="33"/>
      <c r="K87" s="33"/>
      <c r="L87" s="5"/>
      <c r="M87" s="5"/>
      <c r="N87" s="5"/>
      <c r="O87" s="5"/>
      <c r="P87" s="5"/>
      <c r="Q87" s="5"/>
      <c r="R87" s="5"/>
    </row>
    <row r="88" spans="4:18" x14ac:dyDescent="0.25">
      <c r="D88" s="52"/>
      <c r="E88" s="4"/>
      <c r="F88" s="52"/>
      <c r="G88" s="33"/>
      <c r="H88" s="35"/>
      <c r="I88" s="55"/>
      <c r="J88" s="33"/>
      <c r="K88" s="33"/>
      <c r="L88" s="5"/>
      <c r="M88" s="5"/>
      <c r="N88" s="5"/>
      <c r="O88" s="5"/>
      <c r="P88" s="5"/>
      <c r="Q88" s="5"/>
      <c r="R88" s="5"/>
    </row>
    <row r="89" spans="4:18" x14ac:dyDescent="0.25">
      <c r="D89" s="52"/>
      <c r="E89" s="4"/>
      <c r="F89" s="52"/>
      <c r="G89" s="33"/>
      <c r="H89" s="35"/>
      <c r="I89" s="55"/>
      <c r="J89" s="33"/>
      <c r="K89" s="33"/>
      <c r="L89" s="5"/>
      <c r="M89" s="5"/>
      <c r="N89" s="5"/>
      <c r="O89" s="5"/>
      <c r="P89" s="5"/>
      <c r="Q89" s="5"/>
      <c r="R89" s="5"/>
    </row>
    <row r="90" spans="4:18" x14ac:dyDescent="0.25">
      <c r="D90" s="52"/>
      <c r="E90" s="4"/>
      <c r="F90" s="52"/>
      <c r="G90" s="33"/>
      <c r="H90" s="35"/>
      <c r="I90" s="55"/>
      <c r="J90" s="33"/>
      <c r="K90" s="33"/>
      <c r="L90" s="5"/>
      <c r="M90" s="5"/>
      <c r="N90" s="5"/>
      <c r="O90" s="5"/>
      <c r="P90" s="5"/>
      <c r="Q90" s="5"/>
      <c r="R90" s="5"/>
    </row>
    <row r="91" spans="4:18" x14ac:dyDescent="0.25">
      <c r="D91" s="52"/>
      <c r="E91" s="4"/>
      <c r="F91" s="52"/>
      <c r="G91" s="33"/>
      <c r="H91" s="35"/>
      <c r="I91" s="55"/>
      <c r="J91" s="33"/>
      <c r="K91" s="33"/>
      <c r="L91" s="5"/>
      <c r="M91" s="5"/>
      <c r="N91" s="5"/>
      <c r="O91" s="5"/>
      <c r="P91" s="5"/>
      <c r="Q91" s="5"/>
      <c r="R91" s="5"/>
    </row>
    <row r="92" spans="4:18" x14ac:dyDescent="0.25">
      <c r="D92" s="52"/>
      <c r="E92" s="4"/>
      <c r="F92" s="52"/>
      <c r="G92" s="33"/>
      <c r="H92" s="35"/>
      <c r="I92" s="55"/>
      <c r="J92" s="33"/>
      <c r="K92" s="33"/>
      <c r="L92" s="5"/>
      <c r="M92" s="5"/>
      <c r="N92" s="5"/>
      <c r="O92" s="5"/>
      <c r="P92" s="5"/>
      <c r="Q92" s="5"/>
      <c r="R92" s="5"/>
    </row>
    <row r="93" spans="4:18" x14ac:dyDescent="0.25">
      <c r="D93" s="52"/>
      <c r="E93" s="4"/>
      <c r="F93" s="52"/>
      <c r="G93" s="33"/>
      <c r="H93" s="35"/>
      <c r="I93" s="55"/>
      <c r="J93" s="33"/>
      <c r="K93" s="33"/>
      <c r="L93" s="5"/>
      <c r="M93" s="5"/>
      <c r="N93" s="5"/>
      <c r="O93" s="5"/>
      <c r="P93" s="5"/>
      <c r="Q93" s="5"/>
      <c r="R93" s="5"/>
    </row>
    <row r="94" spans="4:18" x14ac:dyDescent="0.25">
      <c r="D94" s="52"/>
      <c r="E94" s="4"/>
      <c r="F94" s="52"/>
      <c r="G94" s="33"/>
      <c r="H94" s="35"/>
      <c r="I94" s="55"/>
      <c r="J94" s="33"/>
      <c r="K94" s="33"/>
      <c r="L94" s="5"/>
      <c r="M94" s="5"/>
      <c r="N94" s="5"/>
      <c r="O94" s="5"/>
      <c r="P94" s="5"/>
      <c r="Q94" s="5"/>
      <c r="R94" s="5"/>
    </row>
    <row r="95" spans="4:18" x14ac:dyDescent="0.25">
      <c r="D95" s="52"/>
      <c r="E95" s="4"/>
      <c r="F95" s="52"/>
      <c r="G95" s="33"/>
      <c r="H95" s="35"/>
      <c r="I95" s="55"/>
      <c r="J95" s="33"/>
      <c r="K95" s="33"/>
      <c r="L95" s="5"/>
      <c r="M95" s="5"/>
      <c r="N95" s="5"/>
      <c r="O95" s="5"/>
      <c r="P95" s="5"/>
      <c r="Q95" s="5"/>
      <c r="R95" s="5"/>
    </row>
    <row r="96" spans="4:18" x14ac:dyDescent="0.25">
      <c r="D96" s="52"/>
      <c r="E96" s="4"/>
      <c r="F96" s="52"/>
      <c r="G96" s="33"/>
      <c r="H96" s="35"/>
      <c r="I96" s="55"/>
      <c r="J96" s="33"/>
      <c r="K96" s="33"/>
      <c r="L96" s="5"/>
      <c r="M96" s="5"/>
      <c r="N96" s="5"/>
      <c r="O96" s="5"/>
      <c r="P96" s="5"/>
      <c r="Q96" s="5"/>
      <c r="R96" s="5"/>
    </row>
    <row r="97" spans="4:18" x14ac:dyDescent="0.25">
      <c r="D97" s="52"/>
      <c r="E97" s="4"/>
      <c r="F97" s="52"/>
      <c r="G97" s="33"/>
      <c r="H97" s="35"/>
      <c r="I97" s="55"/>
      <c r="J97" s="33"/>
      <c r="K97" s="33"/>
      <c r="L97" s="5"/>
      <c r="M97" s="5"/>
      <c r="N97" s="5"/>
      <c r="O97" s="5"/>
      <c r="P97" s="5"/>
      <c r="Q97" s="5"/>
      <c r="R97" s="5"/>
    </row>
    <row r="98" spans="4:18" x14ac:dyDescent="0.25">
      <c r="D98" s="52"/>
      <c r="E98" s="4"/>
      <c r="F98" s="52"/>
      <c r="G98" s="33"/>
      <c r="H98" s="35"/>
      <c r="I98" s="55"/>
      <c r="J98" s="33"/>
      <c r="K98" s="33"/>
      <c r="L98" s="5"/>
      <c r="M98" s="5"/>
      <c r="N98" s="5"/>
      <c r="O98" s="5"/>
      <c r="P98" s="5"/>
      <c r="Q98" s="5"/>
      <c r="R98" s="5"/>
    </row>
    <row r="99" spans="4:18" x14ac:dyDescent="0.25">
      <c r="D99" s="52"/>
      <c r="E99" s="4"/>
      <c r="F99" s="52"/>
      <c r="G99" s="33"/>
      <c r="H99" s="35"/>
      <c r="I99" s="55"/>
      <c r="J99" s="33"/>
      <c r="K99" s="33"/>
      <c r="L99" s="5"/>
      <c r="M99" s="5"/>
      <c r="N99" s="5"/>
      <c r="O99" s="5"/>
      <c r="P99" s="5"/>
      <c r="Q99" s="5"/>
      <c r="R99" s="5"/>
    </row>
    <row r="100" spans="4:18" x14ac:dyDescent="0.25">
      <c r="D100" s="52"/>
      <c r="E100" s="4"/>
      <c r="F100" s="52"/>
      <c r="G100" s="33"/>
      <c r="H100" s="35"/>
      <c r="I100" s="55"/>
      <c r="J100" s="33"/>
      <c r="K100" s="33"/>
      <c r="L100" s="5"/>
      <c r="M100" s="5"/>
      <c r="N100" s="5"/>
      <c r="O100" s="5"/>
      <c r="P100" s="5"/>
      <c r="Q100" s="5"/>
      <c r="R100" s="5"/>
    </row>
    <row r="101" spans="4:18" x14ac:dyDescent="0.25">
      <c r="D101" s="52"/>
      <c r="E101" s="4"/>
      <c r="F101" s="52"/>
      <c r="G101" s="33"/>
      <c r="H101" s="35"/>
      <c r="I101" s="55"/>
      <c r="J101" s="33"/>
      <c r="K101" s="33"/>
      <c r="L101" s="5"/>
      <c r="M101" s="5"/>
      <c r="N101" s="5"/>
      <c r="O101" s="5"/>
      <c r="P101" s="5"/>
      <c r="Q101" s="5"/>
      <c r="R101" s="5"/>
    </row>
    <row r="102" spans="4:18" x14ac:dyDescent="0.25">
      <c r="D102" s="52"/>
      <c r="E102" s="4"/>
      <c r="F102" s="52"/>
      <c r="G102" s="33"/>
      <c r="H102" s="35"/>
      <c r="I102" s="55"/>
      <c r="J102" s="33"/>
      <c r="K102" s="33"/>
      <c r="L102" s="5"/>
      <c r="M102" s="5"/>
      <c r="N102" s="5"/>
      <c r="O102" s="5"/>
      <c r="P102" s="5"/>
      <c r="Q102" s="5"/>
      <c r="R102" s="5"/>
    </row>
    <row r="103" spans="4:18" x14ac:dyDescent="0.25">
      <c r="D103" s="52"/>
      <c r="E103" s="4"/>
      <c r="F103" s="52"/>
      <c r="G103" s="33"/>
      <c r="H103" s="35"/>
      <c r="I103" s="55"/>
      <c r="J103" s="33"/>
      <c r="K103" s="33"/>
      <c r="L103" s="5"/>
      <c r="M103" s="5"/>
      <c r="N103" s="5"/>
      <c r="O103" s="5"/>
      <c r="P103" s="5"/>
      <c r="Q103" s="5"/>
      <c r="R103" s="5"/>
    </row>
    <row r="104" spans="4:18" x14ac:dyDescent="0.25">
      <c r="D104" s="52"/>
      <c r="E104" s="4"/>
      <c r="F104" s="52"/>
      <c r="G104" s="33"/>
      <c r="H104" s="35"/>
      <c r="I104" s="55"/>
      <c r="J104" s="33"/>
      <c r="K104" s="33"/>
      <c r="L104" s="5"/>
      <c r="M104" s="5"/>
      <c r="N104" s="5"/>
      <c r="O104" s="5"/>
      <c r="P104" s="5"/>
      <c r="Q104" s="5"/>
      <c r="R104" s="5"/>
    </row>
    <row r="105" spans="4:18" x14ac:dyDescent="0.25">
      <c r="D105" s="52"/>
      <c r="E105" s="4"/>
      <c r="F105" s="52"/>
      <c r="G105" s="33"/>
      <c r="H105" s="35"/>
      <c r="I105" s="55"/>
      <c r="J105" s="33"/>
      <c r="K105" s="33"/>
      <c r="L105" s="5"/>
      <c r="M105" s="5"/>
      <c r="N105" s="5"/>
      <c r="O105" s="5"/>
      <c r="P105" s="5"/>
      <c r="Q105" s="5"/>
      <c r="R105" s="5"/>
    </row>
    <row r="106" spans="4:18" x14ac:dyDescent="0.25">
      <c r="D106" s="52"/>
      <c r="E106" s="4"/>
      <c r="F106" s="52"/>
      <c r="G106" s="33"/>
      <c r="H106" s="35"/>
      <c r="I106" s="55"/>
      <c r="J106" s="33"/>
      <c r="K106" s="33"/>
      <c r="L106" s="5"/>
      <c r="M106" s="5"/>
      <c r="N106" s="5"/>
      <c r="O106" s="5"/>
      <c r="P106" s="5"/>
      <c r="Q106" s="5"/>
      <c r="R106" s="5"/>
    </row>
    <row r="107" spans="4:18" x14ac:dyDescent="0.25">
      <c r="D107" s="52"/>
      <c r="E107" s="4"/>
      <c r="F107" s="52"/>
      <c r="G107" s="33"/>
      <c r="H107" s="35"/>
      <c r="I107" s="55"/>
      <c r="J107" s="33"/>
      <c r="K107" s="33"/>
      <c r="L107" s="5"/>
      <c r="M107" s="5"/>
      <c r="N107" s="5"/>
      <c r="O107" s="5"/>
      <c r="P107" s="5"/>
      <c r="Q107" s="5"/>
      <c r="R107" s="5"/>
    </row>
    <row r="108" spans="4:18" x14ac:dyDescent="0.25">
      <c r="D108" s="52"/>
      <c r="E108" s="4"/>
      <c r="F108" s="52"/>
      <c r="G108" s="33"/>
      <c r="H108" s="35"/>
      <c r="I108" s="55"/>
      <c r="J108" s="33"/>
      <c r="K108" s="33"/>
      <c r="L108" s="5"/>
      <c r="M108" s="5"/>
      <c r="N108" s="5"/>
      <c r="O108" s="5"/>
      <c r="P108" s="5"/>
      <c r="Q108" s="5"/>
      <c r="R108" s="5"/>
    </row>
    <row r="109" spans="4:18" x14ac:dyDescent="0.25">
      <c r="D109" s="52"/>
      <c r="E109" s="4"/>
      <c r="F109" s="52"/>
      <c r="G109" s="33"/>
      <c r="H109" s="35"/>
      <c r="I109" s="55"/>
      <c r="J109" s="33"/>
      <c r="K109" s="33"/>
      <c r="L109" s="5"/>
      <c r="M109" s="5"/>
      <c r="N109" s="5"/>
      <c r="O109" s="5"/>
      <c r="P109" s="5"/>
      <c r="Q109" s="5"/>
      <c r="R109" s="5"/>
    </row>
    <row r="110" spans="4:18" x14ac:dyDescent="0.25">
      <c r="D110" s="52"/>
      <c r="E110" s="4"/>
      <c r="F110" s="52"/>
      <c r="G110" s="33"/>
      <c r="H110" s="35"/>
      <c r="I110" s="55"/>
      <c r="J110" s="33"/>
      <c r="K110" s="33"/>
      <c r="L110" s="5"/>
      <c r="M110" s="5"/>
      <c r="N110" s="5"/>
      <c r="O110" s="5"/>
      <c r="P110" s="5"/>
      <c r="Q110" s="5"/>
      <c r="R110" s="5"/>
    </row>
    <row r="111" spans="4:18" x14ac:dyDescent="0.25">
      <c r="D111" s="52"/>
      <c r="E111" s="4"/>
      <c r="F111" s="52"/>
      <c r="G111" s="33"/>
      <c r="H111" s="35"/>
      <c r="I111" s="55"/>
      <c r="J111" s="33"/>
      <c r="K111" s="33"/>
      <c r="L111" s="5"/>
      <c r="M111" s="5"/>
      <c r="N111" s="5"/>
      <c r="O111" s="5"/>
      <c r="P111" s="5"/>
      <c r="Q111" s="5"/>
      <c r="R111" s="5"/>
    </row>
    <row r="112" spans="4:18" x14ac:dyDescent="0.25">
      <c r="D112" s="52"/>
      <c r="E112" s="4"/>
      <c r="F112" s="52"/>
      <c r="G112" s="33"/>
      <c r="H112" s="35"/>
      <c r="I112" s="55"/>
      <c r="J112" s="33"/>
      <c r="K112" s="33"/>
      <c r="L112" s="5"/>
      <c r="M112" s="5"/>
      <c r="N112" s="5"/>
      <c r="O112" s="5"/>
      <c r="P112" s="5"/>
      <c r="Q112" s="5"/>
      <c r="R112" s="5"/>
    </row>
    <row r="113" spans="4:18" x14ac:dyDescent="0.25">
      <c r="D113" s="52"/>
      <c r="E113" s="4"/>
      <c r="F113" s="52"/>
      <c r="G113" s="33"/>
      <c r="H113" s="35"/>
      <c r="I113" s="55"/>
      <c r="J113" s="33"/>
      <c r="K113" s="33"/>
      <c r="L113" s="5"/>
      <c r="M113" s="5"/>
      <c r="N113" s="5"/>
      <c r="O113" s="5"/>
      <c r="P113" s="5"/>
      <c r="Q113" s="5"/>
      <c r="R113" s="5"/>
    </row>
    <row r="114" spans="4:18" x14ac:dyDescent="0.25">
      <c r="D114" s="52"/>
      <c r="E114" s="4"/>
      <c r="F114" s="52"/>
      <c r="G114" s="33"/>
      <c r="H114" s="35"/>
      <c r="I114" s="55"/>
      <c r="J114" s="33"/>
      <c r="K114" s="33"/>
      <c r="L114" s="5"/>
      <c r="M114" s="5"/>
      <c r="N114" s="5"/>
      <c r="O114" s="5"/>
      <c r="P114" s="5"/>
      <c r="Q114" s="5"/>
      <c r="R114" s="5"/>
    </row>
    <row r="115" spans="4:18" x14ac:dyDescent="0.25">
      <c r="D115" s="52"/>
      <c r="E115" s="4"/>
      <c r="F115" s="52"/>
      <c r="G115" s="33"/>
      <c r="H115" s="35"/>
      <c r="I115" s="55"/>
      <c r="J115" s="33"/>
      <c r="K115" s="33"/>
      <c r="L115" s="5"/>
      <c r="M115" s="5"/>
      <c r="N115" s="5"/>
      <c r="O115" s="5"/>
      <c r="P115" s="5"/>
      <c r="Q115" s="5"/>
      <c r="R115" s="5"/>
    </row>
    <row r="116" spans="4:18" x14ac:dyDescent="0.25">
      <c r="D116" s="52"/>
      <c r="E116" s="4"/>
      <c r="F116" s="52"/>
      <c r="G116" s="33"/>
      <c r="H116" s="35"/>
      <c r="I116" s="55"/>
      <c r="J116" s="33"/>
      <c r="K116" s="33"/>
      <c r="L116" s="5"/>
      <c r="M116" s="5"/>
      <c r="N116" s="5"/>
      <c r="O116" s="5"/>
      <c r="P116" s="5"/>
      <c r="Q116" s="5"/>
      <c r="R116" s="5"/>
    </row>
    <row r="117" spans="4:18" x14ac:dyDescent="0.25">
      <c r="D117" s="52"/>
      <c r="E117" s="4"/>
      <c r="F117" s="52"/>
      <c r="G117" s="33"/>
      <c r="H117" s="35"/>
      <c r="I117" s="55"/>
      <c r="J117" s="33"/>
      <c r="K117" s="33"/>
      <c r="L117" s="5"/>
      <c r="M117" s="5"/>
      <c r="N117" s="5"/>
      <c r="O117" s="5"/>
      <c r="P117" s="5"/>
      <c r="Q117" s="5"/>
      <c r="R117" s="5"/>
    </row>
    <row r="118" spans="4:18" x14ac:dyDescent="0.25">
      <c r="D118" s="52"/>
      <c r="E118" s="4"/>
      <c r="F118" s="52"/>
      <c r="G118" s="33"/>
      <c r="H118" s="35"/>
      <c r="I118" s="55"/>
      <c r="J118" s="33"/>
      <c r="K118" s="33"/>
      <c r="L118" s="5"/>
      <c r="M118" s="5"/>
      <c r="N118" s="5"/>
      <c r="O118" s="5"/>
      <c r="P118" s="5"/>
      <c r="Q118" s="5"/>
      <c r="R118" s="5"/>
    </row>
    <row r="119" spans="4:18" x14ac:dyDescent="0.25">
      <c r="D119" s="52"/>
      <c r="E119" s="4"/>
      <c r="F119" s="52"/>
      <c r="G119" s="33"/>
      <c r="H119" s="35"/>
      <c r="I119" s="55"/>
      <c r="J119" s="33"/>
      <c r="K119" s="33"/>
      <c r="L119" s="5"/>
      <c r="M119" s="5"/>
      <c r="N119" s="5"/>
      <c r="O119" s="5"/>
      <c r="P119" s="5"/>
      <c r="Q119" s="5"/>
      <c r="R119" s="5"/>
    </row>
    <row r="120" spans="4:18" x14ac:dyDescent="0.25">
      <c r="D120" s="52"/>
      <c r="E120" s="4"/>
      <c r="F120" s="52"/>
      <c r="G120" s="33"/>
      <c r="H120" s="35"/>
      <c r="I120" s="55"/>
      <c r="J120" s="33"/>
      <c r="K120" s="33"/>
      <c r="L120" s="5"/>
      <c r="M120" s="5"/>
      <c r="N120" s="5"/>
      <c r="O120" s="5"/>
      <c r="P120" s="5"/>
      <c r="Q120" s="5"/>
      <c r="R120" s="5"/>
    </row>
    <row r="121" spans="4:18" x14ac:dyDescent="0.25">
      <c r="D121" s="52"/>
      <c r="E121" s="4"/>
      <c r="F121" s="52"/>
      <c r="G121" s="33"/>
      <c r="H121" s="35"/>
      <c r="I121" s="55"/>
      <c r="J121" s="33"/>
      <c r="K121" s="33"/>
      <c r="L121" s="5"/>
      <c r="M121" s="5"/>
      <c r="N121" s="5"/>
      <c r="O121" s="5"/>
      <c r="P121" s="5"/>
      <c r="Q121" s="5"/>
      <c r="R121" s="5"/>
    </row>
    <row r="122" spans="4:18" x14ac:dyDescent="0.25">
      <c r="D122" s="52"/>
      <c r="E122" s="4"/>
      <c r="F122" s="52"/>
      <c r="G122" s="33"/>
      <c r="H122" s="35"/>
      <c r="I122" s="55"/>
      <c r="J122" s="33"/>
      <c r="K122" s="33"/>
      <c r="L122" s="5"/>
      <c r="M122" s="5"/>
      <c r="N122" s="5"/>
      <c r="O122" s="5"/>
      <c r="P122" s="5"/>
      <c r="Q122" s="5"/>
      <c r="R122" s="5"/>
    </row>
    <row r="123" spans="4:18" x14ac:dyDescent="0.25">
      <c r="D123" s="52"/>
      <c r="E123" s="4"/>
      <c r="F123" s="52"/>
      <c r="G123" s="33"/>
      <c r="H123" s="35"/>
      <c r="I123" s="55"/>
      <c r="J123" s="33"/>
      <c r="K123" s="33"/>
      <c r="L123" s="5"/>
      <c r="M123" s="5"/>
      <c r="N123" s="5"/>
      <c r="O123" s="5"/>
      <c r="P123" s="5"/>
      <c r="Q123" s="5"/>
      <c r="R123" s="5"/>
    </row>
    <row r="124" spans="4:18" x14ac:dyDescent="0.25">
      <c r="D124" s="52"/>
      <c r="E124" s="4"/>
      <c r="F124" s="52"/>
      <c r="G124" s="33"/>
      <c r="H124" s="35"/>
      <c r="I124" s="55"/>
      <c r="J124" s="33"/>
      <c r="K124" s="33"/>
      <c r="L124" s="5"/>
      <c r="M124" s="5"/>
      <c r="N124" s="5"/>
      <c r="O124" s="5"/>
      <c r="P124" s="5"/>
      <c r="Q124" s="5"/>
      <c r="R124" s="5"/>
    </row>
    <row r="125" spans="4:18" x14ac:dyDescent="0.25">
      <c r="D125" s="52"/>
      <c r="E125" s="4"/>
      <c r="F125" s="52"/>
      <c r="G125" s="33"/>
      <c r="H125" s="35"/>
      <c r="I125" s="55"/>
      <c r="J125" s="33"/>
      <c r="K125" s="33"/>
      <c r="L125" s="5"/>
      <c r="M125" s="5"/>
      <c r="N125" s="5"/>
      <c r="O125" s="5"/>
      <c r="P125" s="5"/>
      <c r="Q125" s="5"/>
      <c r="R125" s="5"/>
    </row>
    <row r="126" spans="4:18" x14ac:dyDescent="0.25">
      <c r="D126" s="52"/>
      <c r="E126" s="4"/>
      <c r="F126" s="52"/>
      <c r="G126" s="33"/>
      <c r="H126" s="35"/>
      <c r="I126" s="55"/>
      <c r="J126" s="33"/>
      <c r="K126" s="33"/>
      <c r="L126" s="5"/>
      <c r="M126" s="5"/>
      <c r="N126" s="5"/>
      <c r="O126" s="5"/>
      <c r="P126" s="5"/>
      <c r="Q126" s="5"/>
      <c r="R126" s="5"/>
    </row>
    <row r="127" spans="4:18" x14ac:dyDescent="0.25">
      <c r="D127" s="52"/>
      <c r="E127" s="4"/>
      <c r="F127" s="52"/>
      <c r="G127" s="33"/>
      <c r="H127" s="35"/>
      <c r="I127" s="55"/>
      <c r="J127" s="33"/>
      <c r="K127" s="33"/>
      <c r="L127" s="5"/>
      <c r="M127" s="5"/>
      <c r="N127" s="5"/>
      <c r="O127" s="5"/>
      <c r="P127" s="5"/>
      <c r="Q127" s="5"/>
      <c r="R127" s="5"/>
    </row>
    <row r="128" spans="4:18" x14ac:dyDescent="0.25">
      <c r="D128" s="52"/>
      <c r="E128" s="4"/>
      <c r="F128" s="52"/>
      <c r="G128" s="33"/>
      <c r="H128" s="35"/>
      <c r="I128" s="55"/>
      <c r="J128" s="33"/>
      <c r="K128" s="33"/>
      <c r="L128" s="5"/>
      <c r="M128" s="5"/>
      <c r="N128" s="5"/>
      <c r="O128" s="5"/>
      <c r="P128" s="5"/>
      <c r="Q128" s="5"/>
      <c r="R128" s="5"/>
    </row>
    <row r="129" spans="4:18" x14ac:dyDescent="0.25">
      <c r="D129" s="52"/>
      <c r="E129" s="4"/>
      <c r="F129" s="52"/>
      <c r="G129" s="33"/>
      <c r="H129" s="35"/>
      <c r="I129" s="55"/>
      <c r="J129" s="33"/>
      <c r="K129" s="33"/>
      <c r="L129" s="5"/>
      <c r="M129" s="5"/>
      <c r="N129" s="5"/>
      <c r="O129" s="5"/>
      <c r="P129" s="5"/>
      <c r="Q129" s="5"/>
      <c r="R129" s="5"/>
    </row>
    <row r="130" spans="4:18" x14ac:dyDescent="0.25">
      <c r="D130" s="52"/>
      <c r="E130" s="4"/>
      <c r="F130" s="52"/>
      <c r="G130" s="33"/>
      <c r="H130" s="35"/>
      <c r="I130" s="55"/>
      <c r="J130" s="33"/>
      <c r="K130" s="33"/>
      <c r="L130" s="5"/>
      <c r="M130" s="5"/>
      <c r="N130" s="5"/>
      <c r="O130" s="5"/>
      <c r="P130" s="5"/>
      <c r="Q130" s="5"/>
      <c r="R130" s="5"/>
    </row>
    <row r="131" spans="4:18" x14ac:dyDescent="0.25">
      <c r="D131" s="52"/>
      <c r="E131" s="4"/>
      <c r="F131" s="52"/>
      <c r="G131" s="33"/>
      <c r="H131" s="35"/>
      <c r="I131" s="55"/>
      <c r="J131" s="33"/>
      <c r="K131" s="33"/>
      <c r="L131" s="5"/>
      <c r="M131" s="5"/>
      <c r="N131" s="5"/>
      <c r="O131" s="5"/>
      <c r="P131" s="5"/>
      <c r="Q131" s="5"/>
      <c r="R131" s="5"/>
    </row>
    <row r="132" spans="4:18" x14ac:dyDescent="0.25">
      <c r="D132" s="52"/>
      <c r="E132" s="4"/>
      <c r="F132" s="52"/>
      <c r="G132" s="33"/>
      <c r="H132" s="35"/>
      <c r="I132" s="55"/>
      <c r="J132" s="33"/>
      <c r="K132" s="33"/>
      <c r="L132" s="5"/>
      <c r="M132" s="5"/>
      <c r="N132" s="5"/>
      <c r="O132" s="5"/>
      <c r="P132" s="5"/>
      <c r="Q132" s="5"/>
      <c r="R132" s="5"/>
    </row>
    <row r="133" spans="4:18" x14ac:dyDescent="0.25">
      <c r="D133" s="52"/>
      <c r="E133" s="4"/>
      <c r="F133" s="52"/>
      <c r="G133" s="33"/>
      <c r="H133" s="35"/>
      <c r="I133" s="55"/>
      <c r="J133" s="33"/>
      <c r="K133" s="33"/>
      <c r="L133" s="5"/>
      <c r="M133" s="5"/>
      <c r="N133" s="5"/>
      <c r="O133" s="5"/>
      <c r="P133" s="5"/>
      <c r="Q133" s="5"/>
      <c r="R133" s="5"/>
    </row>
    <row r="134" spans="4:18" x14ac:dyDescent="0.25">
      <c r="D134" s="52"/>
      <c r="E134" s="4"/>
      <c r="F134" s="52"/>
      <c r="G134" s="33"/>
      <c r="H134" s="35"/>
      <c r="I134" s="55"/>
      <c r="J134" s="33"/>
      <c r="K134" s="33"/>
      <c r="L134" s="5"/>
      <c r="M134" s="5"/>
      <c r="N134" s="5"/>
      <c r="O134" s="5"/>
      <c r="P134" s="5"/>
      <c r="Q134" s="5"/>
      <c r="R134" s="5"/>
    </row>
    <row r="135" spans="4:18" x14ac:dyDescent="0.25">
      <c r="D135" s="52"/>
      <c r="E135" s="4"/>
      <c r="F135" s="52"/>
      <c r="G135" s="33"/>
      <c r="H135" s="35"/>
      <c r="I135" s="55"/>
      <c r="J135" s="33"/>
      <c r="K135" s="33"/>
      <c r="L135" s="5"/>
      <c r="M135" s="5"/>
      <c r="N135" s="5"/>
      <c r="O135" s="5"/>
      <c r="P135" s="5"/>
      <c r="Q135" s="5"/>
      <c r="R135" s="5"/>
    </row>
    <row r="136" spans="4:18" x14ac:dyDescent="0.25">
      <c r="D136" s="52"/>
      <c r="E136" s="4"/>
      <c r="F136" s="52"/>
      <c r="G136" s="33"/>
      <c r="H136" s="35"/>
      <c r="I136" s="55"/>
      <c r="J136" s="33"/>
      <c r="K136" s="33"/>
      <c r="L136" s="5"/>
      <c r="M136" s="5"/>
      <c r="N136" s="5"/>
      <c r="O136" s="5"/>
      <c r="P136" s="5"/>
      <c r="Q136" s="5"/>
      <c r="R136" s="5"/>
    </row>
    <row r="137" spans="4:18" x14ac:dyDescent="0.25">
      <c r="D137" s="52"/>
      <c r="E137" s="4"/>
      <c r="F137" s="52"/>
      <c r="G137" s="33"/>
      <c r="H137" s="35"/>
      <c r="I137" s="55"/>
      <c r="J137" s="33"/>
      <c r="K137" s="33"/>
      <c r="L137" s="5"/>
      <c r="M137" s="5"/>
      <c r="N137" s="5"/>
      <c r="O137" s="5"/>
      <c r="P137" s="5"/>
      <c r="Q137" s="5"/>
      <c r="R137" s="5"/>
    </row>
    <row r="138" spans="4:18" x14ac:dyDescent="0.25">
      <c r="D138" s="52"/>
      <c r="E138" s="4"/>
      <c r="F138" s="52"/>
      <c r="G138" s="33"/>
      <c r="H138" s="35"/>
      <c r="I138" s="55"/>
      <c r="J138" s="33"/>
      <c r="K138" s="33"/>
      <c r="L138" s="5"/>
      <c r="M138" s="5"/>
      <c r="N138" s="5"/>
      <c r="O138" s="5"/>
      <c r="P138" s="5"/>
      <c r="Q138" s="5"/>
      <c r="R138" s="5"/>
    </row>
    <row r="139" spans="4:18" x14ac:dyDescent="0.25">
      <c r="D139" s="52"/>
      <c r="E139" s="4"/>
      <c r="F139" s="52"/>
      <c r="G139" s="33"/>
      <c r="H139" s="35"/>
      <c r="I139" s="55"/>
      <c r="J139" s="33"/>
      <c r="K139" s="33"/>
      <c r="L139" s="5"/>
      <c r="M139" s="5"/>
      <c r="N139" s="5"/>
      <c r="O139" s="5"/>
      <c r="P139" s="5"/>
      <c r="Q139" s="5"/>
      <c r="R139" s="5"/>
    </row>
    <row r="140" spans="4:18" x14ac:dyDescent="0.25">
      <c r="D140" s="52"/>
      <c r="E140" s="4"/>
      <c r="F140" s="52"/>
      <c r="G140" s="33"/>
      <c r="H140" s="35"/>
      <c r="I140" s="55"/>
      <c r="J140" s="33"/>
      <c r="K140" s="33"/>
      <c r="L140" s="5"/>
      <c r="M140" s="5"/>
      <c r="N140" s="5"/>
      <c r="O140" s="5"/>
      <c r="P140" s="5"/>
      <c r="Q140" s="5"/>
      <c r="R140" s="5"/>
    </row>
    <row r="141" spans="4:18" x14ac:dyDescent="0.25">
      <c r="D141" s="52"/>
      <c r="E141" s="4"/>
      <c r="F141" s="52"/>
      <c r="G141" s="33"/>
      <c r="H141" s="35"/>
      <c r="I141" s="55"/>
      <c r="J141" s="33"/>
      <c r="K141" s="33"/>
      <c r="L141" s="5"/>
      <c r="M141" s="5"/>
      <c r="N141" s="5"/>
      <c r="O141" s="5"/>
      <c r="P141" s="5"/>
      <c r="Q141" s="5"/>
      <c r="R141" s="5"/>
    </row>
    <row r="142" spans="4:18" x14ac:dyDescent="0.25">
      <c r="D142" s="52"/>
      <c r="E142" s="4"/>
      <c r="F142" s="52"/>
      <c r="G142" s="33"/>
      <c r="H142" s="35"/>
      <c r="I142" s="55"/>
      <c r="J142" s="33"/>
      <c r="K142" s="33"/>
      <c r="L142" s="5"/>
      <c r="M142" s="5"/>
      <c r="N142" s="5"/>
      <c r="O142" s="5"/>
      <c r="P142" s="5"/>
      <c r="Q142" s="5"/>
      <c r="R142" s="5"/>
    </row>
    <row r="143" spans="4:18" x14ac:dyDescent="0.25">
      <c r="D143" s="52"/>
      <c r="E143" s="4"/>
      <c r="F143" s="52"/>
      <c r="G143" s="33"/>
      <c r="H143" s="35"/>
      <c r="I143" s="55"/>
      <c r="J143" s="33"/>
      <c r="K143" s="33"/>
      <c r="L143" s="5"/>
      <c r="M143" s="5"/>
      <c r="N143" s="5"/>
      <c r="O143" s="5"/>
      <c r="P143" s="5"/>
      <c r="Q143" s="5"/>
      <c r="R143" s="5"/>
    </row>
    <row r="144" spans="4:18" x14ac:dyDescent="0.25">
      <c r="D144" s="52"/>
      <c r="E144" s="4"/>
      <c r="F144" s="52"/>
      <c r="G144" s="33"/>
      <c r="H144" s="35"/>
      <c r="I144" s="55"/>
      <c r="J144" s="33"/>
      <c r="K144" s="33"/>
      <c r="L144" s="5"/>
      <c r="M144" s="5"/>
      <c r="N144" s="5"/>
      <c r="O144" s="5"/>
      <c r="P144" s="5"/>
      <c r="Q144" s="5"/>
      <c r="R144" s="5"/>
    </row>
    <row r="145" spans="4:18" x14ac:dyDescent="0.25">
      <c r="D145" s="52"/>
      <c r="E145" s="4"/>
      <c r="F145" s="52"/>
      <c r="G145" s="33"/>
      <c r="H145" s="35"/>
      <c r="I145" s="55"/>
      <c r="J145" s="33"/>
      <c r="K145" s="33"/>
      <c r="L145" s="5"/>
      <c r="M145" s="5"/>
      <c r="N145" s="5"/>
      <c r="O145" s="5"/>
      <c r="P145" s="5"/>
      <c r="Q145" s="5"/>
      <c r="R145" s="5"/>
    </row>
    <row r="146" spans="4:18" x14ac:dyDescent="0.25">
      <c r="D146" s="52"/>
      <c r="E146" s="4"/>
      <c r="F146" s="52"/>
      <c r="G146" s="33"/>
      <c r="H146" s="35"/>
      <c r="I146" s="55"/>
      <c r="J146" s="33"/>
      <c r="K146" s="33"/>
      <c r="L146" s="5"/>
      <c r="M146" s="5"/>
      <c r="N146" s="5"/>
      <c r="O146" s="5"/>
      <c r="P146" s="5"/>
      <c r="Q146" s="5"/>
      <c r="R146" s="5"/>
    </row>
    <row r="147" spans="4:18" x14ac:dyDescent="0.25">
      <c r="D147" s="52"/>
      <c r="E147" s="4"/>
      <c r="F147" s="52"/>
      <c r="G147" s="33"/>
      <c r="H147" s="35"/>
      <c r="I147" s="55"/>
      <c r="J147" s="33"/>
      <c r="K147" s="33"/>
      <c r="L147" s="5"/>
      <c r="M147" s="5"/>
      <c r="N147" s="5"/>
      <c r="O147" s="5"/>
      <c r="P147" s="5"/>
      <c r="Q147" s="5"/>
      <c r="R147" s="5"/>
    </row>
    <row r="148" spans="4:18" x14ac:dyDescent="0.25">
      <c r="D148" s="52"/>
      <c r="E148" s="4"/>
      <c r="F148" s="52"/>
      <c r="G148" s="33"/>
      <c r="H148" s="35"/>
      <c r="I148" s="55"/>
      <c r="J148" s="33"/>
      <c r="K148" s="33"/>
      <c r="L148" s="5"/>
      <c r="M148" s="5"/>
      <c r="N148" s="5"/>
      <c r="O148" s="5"/>
      <c r="P148" s="5"/>
      <c r="Q148" s="5"/>
      <c r="R148" s="5"/>
    </row>
    <row r="149" spans="4:18" x14ac:dyDescent="0.25">
      <c r="D149" s="52"/>
      <c r="E149" s="4"/>
      <c r="F149" s="52"/>
      <c r="G149" s="33"/>
      <c r="H149" s="35"/>
      <c r="I149" s="55"/>
      <c r="J149" s="33"/>
      <c r="K149" s="33"/>
      <c r="L149" s="5"/>
      <c r="M149" s="5"/>
      <c r="N149" s="5"/>
      <c r="O149" s="5"/>
      <c r="P149" s="5"/>
      <c r="Q149" s="5"/>
      <c r="R149" s="5"/>
    </row>
    <row r="150" spans="4:18" x14ac:dyDescent="0.25">
      <c r="D150" s="52"/>
      <c r="E150" s="4"/>
      <c r="F150" s="52"/>
      <c r="G150" s="33"/>
      <c r="H150" s="35"/>
      <c r="I150" s="55"/>
      <c r="J150" s="33"/>
      <c r="K150" s="33"/>
      <c r="L150" s="5"/>
      <c r="M150" s="5"/>
      <c r="N150" s="5"/>
      <c r="O150" s="5"/>
      <c r="P150" s="5"/>
      <c r="Q150" s="5"/>
      <c r="R150" s="5"/>
    </row>
    <row r="151" spans="4:18" x14ac:dyDescent="0.25">
      <c r="D151" s="52"/>
      <c r="E151" s="4"/>
      <c r="F151" s="52"/>
      <c r="G151" s="33"/>
      <c r="H151" s="35"/>
      <c r="I151" s="55"/>
      <c r="J151" s="33"/>
      <c r="K151" s="33"/>
      <c r="L151" s="5"/>
      <c r="M151" s="5"/>
      <c r="N151" s="5"/>
      <c r="O151" s="5"/>
      <c r="P151" s="5"/>
      <c r="Q151" s="5"/>
      <c r="R151" s="5"/>
    </row>
    <row r="152" spans="4:18" x14ac:dyDescent="0.25">
      <c r="D152" s="52"/>
      <c r="E152" s="4"/>
      <c r="F152" s="52"/>
      <c r="G152" s="33"/>
      <c r="H152" s="35"/>
      <c r="I152" s="55"/>
      <c r="J152" s="33"/>
      <c r="K152" s="33"/>
      <c r="L152" s="5"/>
      <c r="M152" s="5"/>
      <c r="N152" s="5"/>
      <c r="O152" s="5"/>
      <c r="P152" s="5"/>
      <c r="Q152" s="5"/>
      <c r="R152" s="5"/>
    </row>
    <row r="153" spans="4:18" x14ac:dyDescent="0.25">
      <c r="D153" s="52"/>
      <c r="E153" s="4"/>
      <c r="F153" s="52"/>
      <c r="G153" s="33"/>
      <c r="H153" s="35"/>
      <c r="I153" s="55"/>
      <c r="J153" s="33"/>
      <c r="K153" s="33"/>
      <c r="L153" s="5"/>
      <c r="M153" s="5"/>
      <c r="N153" s="5"/>
      <c r="O153" s="5"/>
      <c r="P153" s="5"/>
      <c r="Q153" s="5"/>
      <c r="R153" s="5"/>
    </row>
    <row r="154" spans="4:18" x14ac:dyDescent="0.25">
      <c r="D154" s="52"/>
      <c r="E154" s="4"/>
      <c r="F154" s="52"/>
      <c r="G154" s="33"/>
      <c r="H154" s="35"/>
      <c r="I154" s="55"/>
      <c r="J154" s="33"/>
      <c r="K154" s="33"/>
      <c r="L154" s="5"/>
      <c r="M154" s="5"/>
      <c r="N154" s="5"/>
      <c r="O154" s="5"/>
      <c r="P154" s="5"/>
      <c r="Q154" s="5"/>
      <c r="R154" s="5"/>
    </row>
    <row r="155" spans="4:18" x14ac:dyDescent="0.25">
      <c r="D155" s="52"/>
      <c r="E155" s="4"/>
      <c r="F155" s="52"/>
      <c r="G155" s="33"/>
      <c r="H155" s="35"/>
      <c r="I155" s="55"/>
      <c r="J155" s="33"/>
      <c r="K155" s="33"/>
      <c r="L155" s="5"/>
      <c r="M155" s="5"/>
      <c r="N155" s="5"/>
      <c r="O155" s="5"/>
      <c r="P155" s="5"/>
      <c r="Q155" s="5"/>
      <c r="R155" s="5"/>
    </row>
    <row r="156" spans="4:18" x14ac:dyDescent="0.25">
      <c r="D156" s="52"/>
      <c r="E156" s="4"/>
      <c r="F156" s="52"/>
      <c r="G156" s="33"/>
      <c r="H156" s="35"/>
      <c r="I156" s="55"/>
      <c r="J156" s="33"/>
      <c r="K156" s="33"/>
      <c r="L156" s="5"/>
      <c r="M156" s="5"/>
      <c r="N156" s="5"/>
      <c r="O156" s="5"/>
      <c r="P156" s="5"/>
      <c r="Q156" s="5"/>
      <c r="R156" s="5"/>
    </row>
    <row r="157" spans="4:18" x14ac:dyDescent="0.25">
      <c r="D157" s="52"/>
      <c r="E157" s="4"/>
      <c r="F157" s="52"/>
      <c r="G157" s="33"/>
      <c r="H157" s="35"/>
      <c r="I157" s="55"/>
      <c r="J157" s="33"/>
      <c r="K157" s="33"/>
      <c r="L157" s="5"/>
      <c r="M157" s="5"/>
      <c r="N157" s="5"/>
      <c r="O157" s="5"/>
      <c r="P157" s="5"/>
      <c r="Q157" s="5"/>
      <c r="R157" s="5"/>
    </row>
    <row r="158" spans="4:18" x14ac:dyDescent="0.25">
      <c r="D158" s="52"/>
      <c r="E158" s="4"/>
      <c r="F158" s="52"/>
      <c r="G158" s="33"/>
      <c r="H158" s="35"/>
      <c r="I158" s="55"/>
      <c r="J158" s="33"/>
      <c r="K158" s="33"/>
      <c r="L158" s="5"/>
      <c r="M158" s="5"/>
      <c r="N158" s="5"/>
      <c r="O158" s="5"/>
      <c r="P158" s="5"/>
      <c r="Q158" s="5"/>
      <c r="R158" s="5"/>
    </row>
    <row r="159" spans="4:18" x14ac:dyDescent="0.25">
      <c r="D159" s="52"/>
      <c r="E159" s="4"/>
      <c r="F159" s="52"/>
      <c r="G159" s="33"/>
      <c r="H159" s="35"/>
      <c r="I159" s="55"/>
      <c r="J159" s="33"/>
      <c r="K159" s="33"/>
      <c r="L159" s="5"/>
      <c r="M159" s="5"/>
      <c r="N159" s="5"/>
      <c r="O159" s="5"/>
      <c r="P159" s="5"/>
      <c r="Q159" s="5"/>
      <c r="R159" s="5"/>
    </row>
    <row r="160" spans="4:18" x14ac:dyDescent="0.25">
      <c r="D160" s="52"/>
      <c r="E160" s="4"/>
      <c r="F160" s="52"/>
      <c r="G160" s="33"/>
      <c r="H160" s="35"/>
      <c r="I160" s="55"/>
      <c r="J160" s="33"/>
      <c r="K160" s="33"/>
      <c r="L160" s="5"/>
      <c r="M160" s="5"/>
      <c r="N160" s="5"/>
      <c r="O160" s="5"/>
      <c r="P160" s="5"/>
      <c r="Q160" s="5"/>
      <c r="R160" s="5"/>
    </row>
    <row r="161" spans="4:18" x14ac:dyDescent="0.25">
      <c r="D161" s="52"/>
      <c r="E161" s="4"/>
      <c r="F161" s="52"/>
      <c r="G161" s="33"/>
      <c r="H161" s="35"/>
      <c r="I161" s="55"/>
      <c r="J161" s="33"/>
      <c r="K161" s="33"/>
      <c r="L161" s="5"/>
      <c r="M161" s="5"/>
      <c r="N161" s="5"/>
      <c r="O161" s="5"/>
      <c r="P161" s="5"/>
      <c r="Q161" s="5"/>
      <c r="R161" s="5"/>
    </row>
    <row r="162" spans="4:18" x14ac:dyDescent="0.25">
      <c r="D162" s="52"/>
      <c r="E162" s="4"/>
      <c r="F162" s="52"/>
      <c r="G162" s="33"/>
      <c r="H162" s="35"/>
      <c r="I162" s="55"/>
      <c r="J162" s="33"/>
      <c r="K162" s="33"/>
      <c r="L162" s="5"/>
      <c r="M162" s="5"/>
      <c r="N162" s="5"/>
      <c r="O162" s="5"/>
      <c r="P162" s="5"/>
      <c r="Q162" s="5"/>
      <c r="R162" s="5"/>
    </row>
    <row r="163" spans="4:18" x14ac:dyDescent="0.25">
      <c r="D163" s="52"/>
      <c r="E163" s="4"/>
      <c r="F163" s="52"/>
      <c r="G163" s="33"/>
      <c r="H163" s="35"/>
      <c r="I163" s="55"/>
      <c r="J163" s="33"/>
      <c r="K163" s="33"/>
      <c r="L163" s="5"/>
      <c r="M163" s="5"/>
      <c r="N163" s="5"/>
      <c r="O163" s="5"/>
      <c r="P163" s="5"/>
      <c r="Q163" s="5"/>
      <c r="R163" s="5"/>
    </row>
    <row r="164" spans="4:18" x14ac:dyDescent="0.25">
      <c r="D164" s="52"/>
      <c r="E164" s="4"/>
      <c r="F164" s="52"/>
      <c r="G164" s="33"/>
      <c r="H164" s="35"/>
      <c r="I164" s="55"/>
      <c r="J164" s="33"/>
      <c r="K164" s="33"/>
      <c r="L164" s="5"/>
      <c r="M164" s="5"/>
      <c r="N164" s="5"/>
      <c r="O164" s="5"/>
      <c r="P164" s="5"/>
      <c r="Q164" s="5"/>
      <c r="R164" s="5"/>
    </row>
    <row r="165" spans="4:18" x14ac:dyDescent="0.25">
      <c r="D165" s="52"/>
      <c r="E165" s="4"/>
      <c r="F165" s="52"/>
      <c r="G165" s="33"/>
      <c r="H165" s="35"/>
      <c r="I165" s="55"/>
      <c r="J165" s="33"/>
      <c r="K165" s="33"/>
      <c r="L165" s="5"/>
      <c r="M165" s="5"/>
      <c r="N165" s="5"/>
      <c r="O165" s="5"/>
      <c r="P165" s="5"/>
      <c r="Q165" s="5"/>
      <c r="R165" s="5"/>
    </row>
    <row r="166" spans="4:18" x14ac:dyDescent="0.25">
      <c r="D166" s="52"/>
      <c r="E166" s="4"/>
      <c r="F166" s="52"/>
      <c r="G166" s="33"/>
      <c r="H166" s="35"/>
      <c r="I166" s="55"/>
      <c r="J166" s="33"/>
      <c r="K166" s="33"/>
      <c r="L166" s="5"/>
      <c r="M166" s="5"/>
      <c r="N166" s="5"/>
      <c r="O166" s="5"/>
      <c r="P166" s="5"/>
      <c r="Q166" s="5"/>
      <c r="R166" s="5"/>
    </row>
    <row r="167" spans="4:18" x14ac:dyDescent="0.25">
      <c r="D167" s="52"/>
      <c r="E167" s="4"/>
      <c r="F167" s="52"/>
      <c r="G167" s="33"/>
      <c r="H167" s="35"/>
      <c r="I167" s="55"/>
      <c r="J167" s="33"/>
      <c r="K167" s="33"/>
      <c r="L167" s="5"/>
      <c r="M167" s="5"/>
      <c r="N167" s="5"/>
      <c r="O167" s="5"/>
      <c r="P167" s="5"/>
      <c r="Q167" s="5"/>
      <c r="R167" s="5"/>
    </row>
    <row r="168" spans="4:18" x14ac:dyDescent="0.25">
      <c r="D168" s="52"/>
      <c r="E168" s="4"/>
      <c r="F168" s="52"/>
      <c r="G168" s="33"/>
      <c r="H168" s="35"/>
      <c r="I168" s="55"/>
      <c r="J168" s="33"/>
      <c r="K168" s="33"/>
      <c r="L168" s="5"/>
      <c r="M168" s="5"/>
      <c r="N168" s="5"/>
      <c r="O168" s="5"/>
      <c r="P168" s="5"/>
      <c r="Q168" s="5"/>
      <c r="R168" s="5"/>
    </row>
    <row r="169" spans="4:18" x14ac:dyDescent="0.25">
      <c r="D169" s="52"/>
      <c r="E169" s="4"/>
      <c r="F169" s="52"/>
      <c r="G169" s="33"/>
      <c r="H169" s="35"/>
      <c r="I169" s="55"/>
      <c r="J169" s="33"/>
      <c r="K169" s="33"/>
      <c r="L169" s="5"/>
      <c r="M169" s="5"/>
      <c r="N169" s="5"/>
      <c r="O169" s="5"/>
      <c r="P169" s="5"/>
      <c r="Q169" s="5"/>
      <c r="R169" s="5"/>
    </row>
    <row r="170" spans="4:18" x14ac:dyDescent="0.25">
      <c r="D170" s="52"/>
      <c r="E170" s="4"/>
      <c r="F170" s="52"/>
      <c r="G170" s="33"/>
      <c r="H170" s="35"/>
      <c r="I170" s="55"/>
      <c r="J170" s="33"/>
      <c r="K170" s="33"/>
      <c r="L170" s="5"/>
      <c r="M170" s="5"/>
      <c r="N170" s="5"/>
      <c r="O170" s="5"/>
      <c r="P170" s="5"/>
      <c r="Q170" s="5"/>
      <c r="R170" s="5"/>
    </row>
    <row r="171" spans="4:18" x14ac:dyDescent="0.25">
      <c r="D171" s="52"/>
      <c r="E171" s="4"/>
      <c r="F171" s="52"/>
      <c r="G171" s="33"/>
      <c r="H171" s="35"/>
      <c r="I171" s="55"/>
      <c r="J171" s="33"/>
      <c r="K171" s="33"/>
      <c r="L171" s="5"/>
      <c r="M171" s="5"/>
      <c r="N171" s="5"/>
      <c r="O171" s="5"/>
      <c r="P171" s="5"/>
      <c r="Q171" s="5"/>
      <c r="R171" s="5"/>
    </row>
    <row r="172" spans="4:18" x14ac:dyDescent="0.25">
      <c r="D172" s="52"/>
      <c r="E172" s="4"/>
      <c r="F172" s="52"/>
      <c r="G172" s="33"/>
      <c r="H172" s="35"/>
      <c r="I172" s="55"/>
      <c r="J172" s="33"/>
      <c r="K172" s="33"/>
      <c r="L172" s="5"/>
      <c r="M172" s="5"/>
      <c r="N172" s="5"/>
      <c r="O172" s="5"/>
      <c r="P172" s="5"/>
      <c r="Q172" s="5"/>
      <c r="R172" s="5"/>
    </row>
    <row r="173" spans="4:18" x14ac:dyDescent="0.25">
      <c r="D173" s="52"/>
      <c r="E173" s="4"/>
      <c r="F173" s="52"/>
      <c r="G173" s="33"/>
      <c r="H173" s="35"/>
      <c r="I173" s="55"/>
      <c r="J173" s="33"/>
      <c r="K173" s="33"/>
      <c r="L173" s="5"/>
      <c r="M173" s="5"/>
      <c r="N173" s="5"/>
      <c r="O173" s="5"/>
      <c r="P173" s="5"/>
      <c r="Q173" s="5"/>
      <c r="R173" s="5"/>
    </row>
    <row r="174" spans="4:18" x14ac:dyDescent="0.25">
      <c r="D174" s="52"/>
      <c r="E174" s="4"/>
      <c r="F174" s="52"/>
      <c r="G174" s="33"/>
      <c r="H174" s="35"/>
      <c r="I174" s="55"/>
      <c r="J174" s="33"/>
      <c r="K174" s="33"/>
      <c r="L174" s="5"/>
      <c r="M174" s="5"/>
      <c r="N174" s="5"/>
      <c r="O174" s="5"/>
      <c r="P174" s="5"/>
      <c r="Q174" s="5"/>
      <c r="R174" s="5"/>
    </row>
    <row r="175" spans="4:18" x14ac:dyDescent="0.25">
      <c r="D175" s="52"/>
      <c r="E175" s="4"/>
      <c r="F175" s="52"/>
      <c r="G175" s="33"/>
      <c r="H175" s="35"/>
      <c r="I175" s="55"/>
      <c r="J175" s="33"/>
      <c r="K175" s="33"/>
      <c r="L175" s="5"/>
      <c r="M175" s="5"/>
      <c r="N175" s="5"/>
      <c r="O175" s="5"/>
      <c r="P175" s="5"/>
      <c r="Q175" s="5"/>
      <c r="R175" s="5"/>
    </row>
    <row r="176" spans="4:18" x14ac:dyDescent="0.25">
      <c r="D176" s="52"/>
      <c r="E176" s="4"/>
      <c r="F176" s="52"/>
      <c r="G176" s="33"/>
      <c r="H176" s="35"/>
      <c r="I176" s="55"/>
      <c r="J176" s="33"/>
      <c r="K176" s="33"/>
      <c r="L176" s="5"/>
      <c r="M176" s="5"/>
      <c r="N176" s="5"/>
      <c r="O176" s="5"/>
      <c r="P176" s="5"/>
      <c r="Q176" s="5"/>
      <c r="R176" s="5"/>
    </row>
    <row r="177" spans="4:18" x14ac:dyDescent="0.25">
      <c r="D177" s="52"/>
      <c r="E177" s="4"/>
      <c r="F177" s="52"/>
      <c r="G177" s="33"/>
      <c r="H177" s="35"/>
      <c r="I177" s="55"/>
      <c r="J177" s="33"/>
      <c r="K177" s="33"/>
      <c r="L177" s="5"/>
      <c r="M177" s="5"/>
      <c r="N177" s="5"/>
      <c r="O177" s="5"/>
      <c r="P177" s="5"/>
      <c r="Q177" s="5"/>
      <c r="R177" s="5"/>
    </row>
    <row r="178" spans="4:18" x14ac:dyDescent="0.25">
      <c r="D178" s="52"/>
      <c r="E178" s="4"/>
      <c r="F178" s="52"/>
      <c r="G178" s="33"/>
      <c r="H178" s="35"/>
      <c r="I178" s="55"/>
      <c r="J178" s="33"/>
      <c r="K178" s="33"/>
      <c r="L178" s="5"/>
      <c r="M178" s="5"/>
      <c r="N178" s="5"/>
      <c r="O178" s="5"/>
      <c r="P178" s="5"/>
      <c r="Q178" s="5"/>
      <c r="R178" s="5"/>
    </row>
    <row r="179" spans="4:18" x14ac:dyDescent="0.25">
      <c r="D179" s="52"/>
      <c r="E179" s="4"/>
      <c r="F179" s="52"/>
      <c r="G179" s="33"/>
      <c r="H179" s="35"/>
      <c r="I179" s="55"/>
      <c r="J179" s="33"/>
      <c r="K179" s="33"/>
      <c r="L179" s="5"/>
      <c r="M179" s="5"/>
      <c r="N179" s="5"/>
      <c r="O179" s="5"/>
      <c r="P179" s="5"/>
      <c r="Q179" s="5"/>
      <c r="R179" s="5"/>
    </row>
    <row r="180" spans="4:18" x14ac:dyDescent="0.25">
      <c r="D180" s="52"/>
      <c r="E180" s="4"/>
      <c r="F180" s="52"/>
      <c r="G180" s="33"/>
      <c r="H180" s="35"/>
      <c r="I180" s="55"/>
      <c r="J180" s="33"/>
      <c r="K180" s="33"/>
      <c r="L180" s="5"/>
      <c r="M180" s="5"/>
      <c r="N180" s="5"/>
      <c r="O180" s="5"/>
      <c r="P180" s="5"/>
      <c r="Q180" s="5"/>
      <c r="R180" s="5"/>
    </row>
    <row r="181" spans="4:18" x14ac:dyDescent="0.25">
      <c r="D181" s="52"/>
      <c r="E181" s="4"/>
      <c r="F181" s="52"/>
      <c r="G181" s="33"/>
      <c r="H181" s="35"/>
      <c r="I181" s="55"/>
      <c r="J181" s="33"/>
      <c r="K181" s="33"/>
      <c r="L181" s="5"/>
      <c r="M181" s="5"/>
      <c r="N181" s="5"/>
      <c r="O181" s="5"/>
      <c r="P181" s="5"/>
      <c r="Q181" s="5"/>
      <c r="R181" s="5"/>
    </row>
    <row r="182" spans="4:18" x14ac:dyDescent="0.25">
      <c r="D182" s="52"/>
      <c r="E182" s="4"/>
      <c r="F182" s="52"/>
      <c r="G182" s="33"/>
      <c r="H182" s="35"/>
      <c r="I182" s="55"/>
      <c r="J182" s="33"/>
      <c r="K182" s="33"/>
      <c r="L182" s="5"/>
      <c r="M182" s="5"/>
      <c r="N182" s="5"/>
      <c r="O182" s="5"/>
      <c r="P182" s="5"/>
      <c r="Q182" s="5"/>
      <c r="R182" s="5"/>
    </row>
    <row r="183" spans="4:18" x14ac:dyDescent="0.25">
      <c r="D183" s="52"/>
      <c r="E183" s="4"/>
      <c r="F183" s="52"/>
      <c r="G183" s="33"/>
      <c r="H183" s="35"/>
      <c r="I183" s="55"/>
      <c r="J183" s="33"/>
      <c r="K183" s="33"/>
      <c r="L183" s="5"/>
      <c r="M183" s="5"/>
      <c r="N183" s="5"/>
      <c r="O183" s="5"/>
      <c r="P183" s="5"/>
      <c r="Q183" s="5"/>
      <c r="R183" s="5"/>
    </row>
    <row r="184" spans="4:18" x14ac:dyDescent="0.25">
      <c r="D184" s="52"/>
      <c r="E184" s="4"/>
      <c r="F184" s="52"/>
      <c r="G184" s="33"/>
      <c r="H184" s="35"/>
      <c r="I184" s="55"/>
      <c r="J184" s="33"/>
      <c r="K184" s="33"/>
      <c r="L184" s="5"/>
      <c r="M184" s="5"/>
      <c r="N184" s="5"/>
      <c r="O184" s="5"/>
      <c r="P184" s="5"/>
      <c r="Q184" s="5"/>
      <c r="R184" s="5"/>
    </row>
    <row r="185" spans="4:18" x14ac:dyDescent="0.25">
      <c r="D185" s="52"/>
      <c r="E185" s="4"/>
      <c r="F185" s="52"/>
      <c r="G185" s="33"/>
      <c r="H185" s="35"/>
      <c r="I185" s="55"/>
      <c r="J185" s="33"/>
      <c r="K185" s="33"/>
      <c r="L185" s="5"/>
      <c r="M185" s="5"/>
      <c r="N185" s="5"/>
      <c r="O185" s="5"/>
      <c r="P185" s="5"/>
      <c r="Q185" s="5"/>
      <c r="R185" s="5"/>
    </row>
    <row r="186" spans="4:18" x14ac:dyDescent="0.25">
      <c r="D186" s="52"/>
      <c r="E186" s="4"/>
      <c r="F186" s="52"/>
      <c r="G186" s="33"/>
      <c r="H186" s="35"/>
      <c r="I186" s="55"/>
      <c r="J186" s="33"/>
      <c r="K186" s="33"/>
      <c r="L186" s="5"/>
      <c r="M186" s="5"/>
      <c r="N186" s="5"/>
      <c r="O186" s="5"/>
      <c r="P186" s="5"/>
      <c r="Q186" s="5"/>
      <c r="R186" s="5"/>
    </row>
    <row r="187" spans="4:18" x14ac:dyDescent="0.25">
      <c r="D187" s="52"/>
      <c r="E187" s="4"/>
      <c r="F187" s="52"/>
      <c r="G187" s="33"/>
      <c r="H187" s="35"/>
      <c r="I187" s="55"/>
      <c r="J187" s="33"/>
      <c r="K187" s="33"/>
      <c r="L187" s="5"/>
      <c r="M187" s="5"/>
      <c r="N187" s="5"/>
      <c r="O187" s="5"/>
      <c r="P187" s="5"/>
      <c r="Q187" s="5"/>
      <c r="R187" s="5"/>
    </row>
    <row r="188" spans="4:18" x14ac:dyDescent="0.25">
      <c r="D188" s="52"/>
      <c r="E188" s="4"/>
      <c r="F188" s="52"/>
      <c r="G188" s="33"/>
      <c r="H188" s="35"/>
      <c r="I188" s="55"/>
      <c r="J188" s="33"/>
      <c r="K188" s="33"/>
      <c r="L188" s="5"/>
      <c r="M188" s="5"/>
      <c r="N188" s="5"/>
      <c r="O188" s="5"/>
      <c r="P188" s="5"/>
      <c r="Q188" s="5"/>
      <c r="R188" s="5"/>
    </row>
    <row r="189" spans="4:18" x14ac:dyDescent="0.25">
      <c r="D189" s="52"/>
      <c r="E189" s="4"/>
      <c r="F189" s="52"/>
      <c r="G189" s="33"/>
      <c r="H189" s="35"/>
      <c r="I189" s="55"/>
      <c r="J189" s="33"/>
      <c r="K189" s="33"/>
      <c r="L189" s="5"/>
      <c r="M189" s="5"/>
      <c r="N189" s="5"/>
      <c r="O189" s="5"/>
      <c r="P189" s="5"/>
      <c r="Q189" s="5"/>
      <c r="R189" s="5"/>
    </row>
    <row r="190" spans="4:18" x14ac:dyDescent="0.25">
      <c r="D190" s="52"/>
      <c r="E190" s="4"/>
      <c r="F190" s="52"/>
      <c r="G190" s="33"/>
      <c r="H190" s="35"/>
      <c r="I190" s="55"/>
      <c r="J190" s="33"/>
      <c r="K190" s="33"/>
      <c r="L190" s="5"/>
      <c r="M190" s="5"/>
      <c r="N190" s="5"/>
      <c r="O190" s="5"/>
      <c r="P190" s="5"/>
      <c r="Q190" s="5"/>
      <c r="R190" s="5"/>
    </row>
    <row r="191" spans="4:18" x14ac:dyDescent="0.25">
      <c r="D191" s="52"/>
      <c r="E191" s="4"/>
      <c r="F191" s="52"/>
      <c r="G191" s="33"/>
      <c r="H191" s="35"/>
      <c r="I191" s="55"/>
      <c r="J191" s="33"/>
      <c r="K191" s="33"/>
      <c r="L191" s="5"/>
      <c r="M191" s="5"/>
      <c r="N191" s="5"/>
      <c r="O191" s="5"/>
      <c r="P191" s="5"/>
      <c r="Q191" s="5"/>
      <c r="R191" s="5"/>
    </row>
    <row r="192" spans="4:18" x14ac:dyDescent="0.25">
      <c r="D192" s="52"/>
      <c r="E192" s="4"/>
      <c r="F192" s="52"/>
      <c r="G192" s="33"/>
      <c r="H192" s="35"/>
      <c r="I192" s="55"/>
      <c r="J192" s="33"/>
      <c r="K192" s="33"/>
      <c r="L192" s="5"/>
      <c r="M192" s="5"/>
      <c r="N192" s="5"/>
      <c r="O192" s="5"/>
      <c r="P192" s="5"/>
      <c r="Q192" s="5"/>
      <c r="R192" s="5"/>
    </row>
    <row r="193" spans="4:18" x14ac:dyDescent="0.25">
      <c r="D193" s="52"/>
      <c r="E193" s="4"/>
      <c r="F193" s="52"/>
      <c r="G193" s="33"/>
      <c r="H193" s="35"/>
      <c r="I193" s="55"/>
      <c r="J193" s="33"/>
      <c r="K193" s="33"/>
      <c r="L193" s="5"/>
      <c r="M193" s="5"/>
      <c r="N193" s="5"/>
      <c r="O193" s="5"/>
      <c r="P193" s="5"/>
      <c r="Q193" s="5"/>
      <c r="R193" s="5"/>
    </row>
    <row r="194" spans="4:18" x14ac:dyDescent="0.25">
      <c r="D194" s="52"/>
      <c r="E194" s="4"/>
      <c r="F194" s="52"/>
      <c r="G194" s="33"/>
      <c r="H194" s="35"/>
      <c r="I194" s="55"/>
      <c r="J194" s="33"/>
      <c r="K194" s="33"/>
      <c r="L194" s="5"/>
      <c r="M194" s="5"/>
      <c r="N194" s="5"/>
      <c r="O194" s="5"/>
      <c r="P194" s="5"/>
      <c r="Q194" s="5"/>
      <c r="R194" s="5"/>
    </row>
    <row r="195" spans="4:18" x14ac:dyDescent="0.25">
      <c r="D195" s="52"/>
      <c r="E195" s="4"/>
      <c r="F195" s="52"/>
      <c r="G195" s="33"/>
      <c r="H195" s="35"/>
      <c r="I195" s="55"/>
      <c r="J195" s="33"/>
      <c r="K195" s="33"/>
      <c r="L195" s="5"/>
      <c r="M195" s="5"/>
      <c r="N195" s="5"/>
      <c r="O195" s="5"/>
      <c r="P195" s="5"/>
      <c r="Q195" s="5"/>
      <c r="R195" s="5"/>
    </row>
    <row r="196" spans="4:18" x14ac:dyDescent="0.25">
      <c r="D196" s="52"/>
      <c r="E196" s="4"/>
      <c r="F196" s="52"/>
      <c r="G196" s="33"/>
      <c r="H196" s="35"/>
      <c r="I196" s="55"/>
      <c r="J196" s="33"/>
      <c r="K196" s="33"/>
      <c r="L196" s="5"/>
      <c r="M196" s="5"/>
      <c r="N196" s="5"/>
      <c r="O196" s="5"/>
      <c r="P196" s="5"/>
      <c r="Q196" s="5"/>
      <c r="R196" s="5"/>
    </row>
    <row r="197" spans="4:18" x14ac:dyDescent="0.25">
      <c r="D197" s="52"/>
      <c r="E197" s="4"/>
      <c r="F197" s="52"/>
      <c r="G197" s="33"/>
      <c r="H197" s="35"/>
      <c r="I197" s="55"/>
      <c r="J197" s="33"/>
      <c r="K197" s="33"/>
      <c r="L197" s="5"/>
      <c r="M197" s="5"/>
      <c r="N197" s="5"/>
      <c r="O197" s="5"/>
      <c r="P197" s="5"/>
      <c r="Q197" s="5"/>
      <c r="R197" s="5"/>
    </row>
    <row r="198" spans="4:18" x14ac:dyDescent="0.25">
      <c r="D198" s="52"/>
      <c r="E198" s="4"/>
      <c r="F198" s="52"/>
      <c r="G198" s="33"/>
      <c r="H198" s="35"/>
      <c r="I198" s="55"/>
      <c r="J198" s="33"/>
      <c r="K198" s="33"/>
      <c r="L198" s="5"/>
      <c r="M198" s="5"/>
      <c r="N198" s="5"/>
      <c r="O198" s="5"/>
      <c r="P198" s="5"/>
      <c r="Q198" s="5"/>
      <c r="R198" s="5"/>
    </row>
    <row r="199" spans="4:18" x14ac:dyDescent="0.25">
      <c r="D199" s="52"/>
      <c r="E199" s="4"/>
      <c r="F199" s="52"/>
      <c r="G199" s="33"/>
      <c r="H199" s="35"/>
      <c r="I199" s="55"/>
      <c r="J199" s="33"/>
      <c r="K199" s="33"/>
      <c r="L199" s="5"/>
      <c r="M199" s="5"/>
      <c r="N199" s="5"/>
      <c r="O199" s="5"/>
      <c r="P199" s="5"/>
      <c r="Q199" s="5"/>
      <c r="R199" s="5"/>
    </row>
    <row r="200" spans="4:18" x14ac:dyDescent="0.25">
      <c r="D200" s="52"/>
      <c r="E200" s="4"/>
      <c r="F200" s="52"/>
      <c r="G200" s="33"/>
      <c r="H200" s="35"/>
      <c r="I200" s="55"/>
      <c r="J200" s="33"/>
      <c r="K200" s="33"/>
      <c r="L200" s="5"/>
      <c r="M200" s="5"/>
      <c r="N200" s="5"/>
      <c r="O200" s="5"/>
      <c r="P200" s="5"/>
      <c r="Q200" s="5"/>
      <c r="R200" s="5"/>
    </row>
  </sheetData>
  <mergeCells count="2">
    <mergeCell ref="A1:S1"/>
    <mergeCell ref="A2:S2"/>
  </mergeCells>
  <conditionalFormatting sqref="Q5:Q200">
    <cfRule type="cellIs" dxfId="3" priority="1" operator="greaterThan">
      <formula>0</formula>
    </cfRule>
  </conditionalFormatting>
  <conditionalFormatting sqref="Q5:Q200">
    <cfRule type="cellIs" dxfId="2" priority="2" operator="lessThan">
      <formula>0</formula>
    </cfRule>
  </conditionalFormatting>
  <conditionalFormatting sqref="R5:R200">
    <cfRule type="cellIs" dxfId="1" priority="3" operator="greaterThan">
      <formula>0</formula>
    </cfRule>
  </conditionalFormatting>
  <conditionalFormatting sqref="R5:R200">
    <cfRule type="cellIs" dxfId="0" priority="4" operator="lessThan">
      <formula>0</formula>
    </cfRule>
  </conditionalFormatting>
  <dataValidations count="2">
    <dataValidation type="list" allowBlank="1" showInputMessage="1" showErrorMessage="1" sqref="A5:A200" xr:uid="{AC6AB753-C7ED-4B79-ACC2-EFF0F6BE0C00}">
      <formula1>"Velan,Pavi"</formula1>
    </dataValidation>
    <dataValidation type="list" allowBlank="1" showInputMessage="1" showErrorMessage="1" sqref="I5:I200" xr:uid="{925402A2-6E5D-47A3-8A94-8506BE1682F1}">
      <formula1>"1,2,4,12"</formula1>
    </dataValidation>
  </dataValidations>
  <pageMargins left="0.7" right="0.7" top="0.75" bottom="0.75" header="0.3" footer="0.3"/>
  <tableParts count="1">
    <tablePart r:id="rId1"/>
  </tableParts>
</worksheet>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Dashboard</vt:lpstr>
      <vt:lpstr>Velan</vt:lpstr>
      <vt:lpstr>Pavi</vt:lpstr>
      <vt:lpstr>VelanMF</vt:lpstr>
      <vt:lpstr>PaviMF</vt:lpstr>
      <vt:lpstr>Fixed Deposits</vt:lpstr>
      <vt:lpstr>Recurring Deposits</vt:lpstr>
      <vt:lpstr>Bonds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Sekar, Singaravelan</dc:creator>
  <cp:lastModifiedBy>Sekar, Singaravelan</cp:lastModifiedBy>
  <dcterms:created xsi:type="dcterms:W3CDTF">2026-09-02T05:59:58Z</dcterms:created>
  <dcterms:modified xsi:type="dcterms:W3CDTF">2026-09-03T06:30:04Z</dcterms:modified>
</cp:coreProperties>
</file>