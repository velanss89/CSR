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1533403\SING\5_Self\03_Investments\"/>
    </mc:Choice>
  </mc:AlternateContent>
  <xr:revisionPtr revIDLastSave="0" documentId="13_ncr:1_{EB373F5F-D09C-4162-BEBF-3DFE5CEF9C44}" xr6:coauthVersionLast="47" xr6:coauthVersionMax="47" xr10:uidLastSave="{00000000-0000-0000-0000-000000000000}"/>
  <bookViews>
    <workbookView xWindow="-110" yWindow="-110" windowWidth="19420" windowHeight="10300" firstSheet="1" activeTab="2" xr2:uid="{8FA773F8-2FB9-43A4-82E4-FD7347DE47DC}"/>
  </bookViews>
  <sheets>
    <sheet name="Cover" sheetId="4" r:id="rId1"/>
    <sheet name="Dashboard" sheetId="3" r:id="rId2"/>
    <sheet name="Velan" sheetId="1" r:id="rId3"/>
    <sheet name="Pavi"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8" i="3" l="1" a="1"/>
  <c r="A18" i="3" s="1"/>
  <c r="D10" i="3" a="1"/>
  <c r="D10" i="3" s="1"/>
  <c r="C10" i="3" a="1"/>
  <c r="C10" i="3" s="1"/>
  <c r="D9" i="3" a="1"/>
  <c r="D9" i="3" s="1"/>
  <c r="C9" i="3" a="1"/>
  <c r="C9" i="3" s="1"/>
  <c r="C5" i="3" a="1"/>
  <c r="C5" i="3" s="1"/>
  <c r="A5" i="3" a="1"/>
  <c r="A5" i="3" s="1"/>
  <c r="B9" i="3"/>
  <c r="B11" i="3" s="1"/>
  <c r="E9" i="3"/>
  <c r="F9" i="3"/>
  <c r="B10" i="3"/>
  <c r="E10" i="3"/>
  <c r="F10" i="3"/>
  <c r="E11" i="3"/>
  <c r="F11" i="3"/>
  <c r="G5" i="3"/>
  <c r="E5" i="3"/>
  <c r="H5" i="2"/>
  <c r="G5" i="2"/>
  <c r="H5" i="1"/>
  <c r="G5" i="1"/>
  <c r="D11" i="3" l="1"/>
  <c r="C11"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<sst xmlns="http://schemas.openxmlformats.org/spreadsheetml/2006/main" count="54" uniqueCount="40">
  <si>
    <t>Symbol</t>
  </si>
  <si>
    <t>CMP</t>
  </si>
  <si>
    <t>Name</t>
  </si>
  <si>
    <t>Quantity</t>
  </si>
  <si>
    <t>ANANTRAJ</t>
  </si>
  <si>
    <t>AnantRaj</t>
  </si>
  <si>
    <t>PORTFOLIO RECORD TRACKER</t>
  </si>
  <si>
    <t>Live position records for Velan and Pavi with automatic daily and total profit/loss tracking</t>
  </si>
  <si>
    <t>SHEET</t>
  </si>
  <si>
    <t>PURPOSE</t>
  </si>
  <si>
    <t>Dashboard</t>
  </si>
  <si>
    <t>Combined portfolio values, profit/loss totals, owner comparison, and all recorded positions.</t>
  </si>
  <si>
    <t>Velan</t>
  </si>
  <si>
    <t>Velan's position register; enter Buy Price, Previous Close, CMP, and Quantity.</t>
  </si>
  <si>
    <t>Pavi</t>
  </si>
  <si>
    <t>Pavi's position register; enter Buy Price, Previous Close, CMP, and Quantity.</t>
  </si>
  <si>
    <t>Cover</t>
  </si>
  <si>
    <t>Workbook guide and usage summary.</t>
  </si>
  <si>
    <t>HOW TO USE</t>
  </si>
  <si>
    <t>Add one row per holding on the relevant owner tab. Enter the symbol, company name, buy price, previous close, current market price (CMP), and quantity; both P&amp;L columns calculate automatically. The Dashboard updates from both portfolio tables.</t>
  </si>
  <si>
    <t>VELAN PORTFOLIO</t>
  </si>
  <si>
    <t>Enter transaction inputs in columns A:F; profit/loss in columns G:H calculates automatically.</t>
  </si>
  <si>
    <t>PAVI PORTFOLIO</t>
  </si>
  <si>
    <t>Buy Price</t>
  </si>
  <si>
    <t>Previous Close</t>
  </si>
  <si>
    <t>PL (Today)</t>
  </si>
  <si>
    <t>PL (Total)</t>
  </si>
  <si>
    <t>PORTFOLIO DASHBOARD</t>
  </si>
  <si>
    <t>Combined live view of Velan and Pavi holdings</t>
  </si>
  <si>
    <t>TOTAL INVESTED</t>
  </si>
  <si>
    <t>CURRENT VALUE</t>
  </si>
  <si>
    <t>TODAY'S P&amp;L</t>
  </si>
  <si>
    <t>TOTAL P&amp;L</t>
  </si>
  <si>
    <t>OWNER</t>
  </si>
  <si>
    <t>POSITIONS</t>
  </si>
  <si>
    <t>INVESTED</t>
  </si>
  <si>
    <t>Combined</t>
  </si>
  <si>
    <t>STORY IN BRIEF</t>
  </si>
  <si>
    <t>The tracker separates daily movement from lifetime performance: today's P&amp;L compares CMP with Previous Close, while total P&amp;L compares CMP with Buy Price. Complete the missing price inputs on each owner tab to activate all portfolio totals. The owner summary and consolidated records below update as rows are added to either table.</t>
  </si>
  <si>
    <t>CONSOLIDATED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</si>
</sst>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Red]\-\₹#,##0.00"/>
  </numFmts>
  <fonts count="7" x14ac:knownFonts="1">
    <font>
      <sz val="10"/>
      <color theme="1"/>
      <name val="Arial"/>
      <family val="2"/>
    </font>
    <font>
      <b/>
      <sz val="10"/>
      <color theme="1"/>
      <name val="Arial"/>
      <family val="2"/>
    </font>
    <font>
      <b/>
      <sz val="10"/>
      <color rgb="FFFFFFFF"/>
      <name val="Arial"/>
      <family val="2"/>
    </font>
    <font>
      <b/>
      <sz val="18"/>
      <color rgb="FFFFFFFF"/>
      <name val="Arial"/>
      <family val="2"/>
    </font>
    <font>
      <i/>
      <sz val="10"/>
      <color rgb="FF666666"/>
      <name val="Arial"/>
      <family val="2"/>
    </font>
    <font>
      <b/>
      <sz val="10"/>
      <color rgb="FF2F75B5"/>
      <name val="Arial"/>
      <family val="2"/>
    </font>
    <font>
      <b/>
      <sz val="20"/>
      <color theme="1"/>
      <name val="Arial"/>
      <family val="2"/>
    </font>
  </fonts>
  <fills count="7">
    <fill>
      <patternFill patternType="none"/>
    </fill>
    <fill>
      <patternFill patternType="gray125"/>
    </fill>
    <fill>
      <patternFill patternType="solid">
        <fgColor rgb="FF17365D"/>
        <bgColor indexed="64"/>
      </patternFill>
    </fill>
    <fill>
      <patternFill patternType="solid">
        <fgColor rgb="FF2F75B5"/>
        <bgColor indexed="64"/>
      </patternFill>
    </fill>
    <fill>
      <patternFill patternType="solid">
        <fgColor rgb="FFF3F6F9"/>
        <bgColor indexed="64"/>
      </patternFill>
    </fill>
    <fill>
      <patternFill patternType="solid">
        <fgColor rgb="FFD9EAF7"/>
        <bgColor indexed="64"/>
      </patternFill>
    </fill>
    <fill>
      <patternFill patternType="solid">
        <fgColor rgb="FFE2F0D9"/>
        <bgColor indexed="64"/>
      </patternFill>
    </fill>
  </fills>
  <borders count="1">
    <border>
      <left/>
      <right/>
      <top/>
      <bottom/>
      <diagonal/>
    </border>
  </borders>
  <cellStyleXfs count="1">
    <xf numFmtId="0" fontId="0" fillId="0" borderId="0"/>
  </cellStyleXfs>
  <cellXfs count="19">
    <xf numFmtId="0" fontId="0" fillId="0" borderId="0" xfId="0"/>
    <xf numFmtId="0" fontId="2" fillId="2" borderId="0" xfId="0" applyFont="1" applyFill="1"/>
    <xf numFmtId="0" fontId="3" fillId="2" borderId="0" xfId="0" applyFont="1" applyFill="1"/>
    <xf numFmtId="0" fontId="4" fillId="0" borderId="0" xfId="0" applyFont="1"/>
    <xf numFmtId="0" fontId="2" fillId="3" borderId="0" xfId="0" applyFont="1" applyFill="1"/>
    <xf numFmtId="0" fontId="2" fillId="3" borderId="0" xfId="0" applyFont="1" applyFill="1"/>
    <xf numFmtId="0" fontId="0" fillId="0" borderId="0" xfId="0" applyAlignment="1">
      <alignment wrapText="1"/>
    </xf>
    <xf numFmtId="0" fontId="0" fillId="4" borderId="0" xfId="0" applyFill="1"/>
    <xf numFmtId="0" fontId="5" fillId="4" borderId="0" xfId="0" applyFont="1" applyFill="1"/>
    <xf numFmtId="0" fontId="4" fillId="0" borderId="0" xfId="0" applyFont="1" applyAlignment="1">
      <alignment wrapText="1"/>
    </xf>
    <xf numFmtId="164" fontId="0" fillId="0" borderId="0" xfId="0" applyNumberFormat="1"/>
    <xf numFmtId="3" fontId="0" fillId="0" borderId="0" xfId="0" applyNumberFormat="1"/>
    <xf numFmtId="165" fontId="0" fillId="0" borderId="0" xfId="0" applyNumberFormat="1"/>
    <xf numFmtId="0" fontId="2" fillId="3" borderId="0" xfId="0" applyFont="1" applyFill="1" applyAlignment="1">
      <alignment horizontal="center"/>
    </xf>
    <xf numFmtId="165" fontId="6" fillId="5" borderId="0" xfId="0" applyNumberFormat="1" applyFont="1" applyFill="1"/>
    <xf numFmtId="0" fontId="1" fillId="6" borderId="0" xfId="0" applyFont="1" applyFill="1"/>
    <xf numFmtId="3" fontId="1" fillId="6" borderId="0" xfId="0" applyNumberFormat="1" applyFont="1" applyFill="1"/>
    <xf numFmtId="165" fontId="1" fillId="6" borderId="0" xfId="0" applyNumberFormat="1" applyFont="1" applyFill="1"/>
    <xf numFmtId="0" fontId="0" fillId="4" borderId="0" xfId="0" applyFill="1" applyAlignment="1">
      <alignment wrapText="1"/>
    </xf>
  </cellXfs>
  <cellStyles count="1">
    <cellStyle name="Normal" xfId="0" builtinId="0"/>
  </cellStyles>
  <dxfs count="16">
    <dxf>
      <font>
        <color rgb="FF006100"/>
      </font>
      <fill>
        <patternFill patternType="solid">
          <fgColor indexed="64"/>
          <bgColor rgb="FFC6EFCE"/>
        </patternFill>
      </fill>
    </dxf>
    <dxf>
      <font>
        <color rgb="FF9C0006"/>
      </font>
      <fill>
        <patternFill patternType="solid">
          <fgColor indexed="64"/>
          <bgColor rgb="FFFFC7CE"/>
        </patternFill>
      </fill>
    </dxf>
    <dxf>
      <numFmt numFmtId="165" formatCode="\₹#,##0.00;[Red]\-\₹#,##0.00"/>
    </dxf>
    <dxf>
      <numFmt numFmtId="165" formatCode="\₹#,##0.00;[Red]\-\₹#,##0.00"/>
    </dxf>
    <dxf>
      <numFmt numFmtId="3" formatCode="#,##0"/>
    </dxf>
    <dxf>
      <numFmt numFmtId="164" formatCode="\₹#,##0.00"/>
    </dxf>
    <dxf>
      <numFmt numFmtId="164" formatCode="\₹#,##0.00"/>
    </dxf>
    <dxf>
      <numFmt numFmtId="164" formatCode="\₹#,##0.00"/>
    </dxf>
    <dxf>
      <font>
        <color rgb="FF006100"/>
      </font>
      <fill>
        <patternFill patternType="solid">
          <fgColor indexed="64"/>
          <bgColor rgb="FFC6EFCE"/>
        </patternFill>
      </fill>
    </dxf>
    <dxf>
      <font>
        <color rgb="FF9C0006"/>
      </font>
      <fill>
        <patternFill patternType="solid">
          <fgColor indexed="64"/>
          <bgColor rgb="FFFFC7CE"/>
        </patternFill>
      </fill>
    </dxf>
    <dxf>
      <numFmt numFmtId="165" formatCode="\₹#,##0.00;[Red]\-\₹#,##0.00"/>
    </dxf>
    <dxf>
      <numFmt numFmtId="165" formatCode="\₹#,##0.00;[Red]\-\₹#,##0.00"/>
    </dxf>
    <dxf>
      <numFmt numFmtId="3" formatCode="#,##0"/>
    </dxf>
    <dxf>
      <numFmt numFmtId="164" formatCode="\₹#,##0.00"/>
    </dxf>
    <dxf>
      <numFmt numFmtId="164" formatCode="\₹#,##0.00"/>
    </dxf>
    <dxf>
      <numFmt numFmtId="16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DC8F23-BC2D-484E-AEE7-CE6F54277538}" name="VelanPortfolio" displayName="VelanPortfolio" ref="A4:H5" totalsRowShown="0">
  <autoFilter ref="A4:H5" xr:uid="{31DC8F23-BC2D-484E-AEE7-CE6F54277538}"/>
  <tableColumns count="8">
    <tableColumn id="1" xr3:uid="{5A03F982-E14D-4C07-AE2F-4A461C611ABE}" name="Symbol"/>
    <tableColumn id="2" xr3:uid="{D0D6F2EE-856E-4D16-966B-ADE2DAB866C1}" name="Name"/>
    <tableColumn id="3" xr3:uid="{450696A5-898A-46AA-AE2B-3D7E5AA41E4A}" name="Buy Price" dataDxfId="15"/>
    <tableColumn id="4" xr3:uid="{5E845FD9-5A94-4739-ADCC-3F422484C424}" name="Previous Close" dataDxfId="14"/>
    <tableColumn id="5" xr3:uid="{5444138E-E26D-492D-BDD6-0F0150D0D24A}" name="CMP" dataDxfId="13"/>
    <tableColumn id="6" xr3:uid="{5CD01F2A-A4C1-464C-B802-48EAE40A0960}" name="Quantity" dataDxfId="12"/>
    <tableColumn id="7" xr3:uid="{4B78CC7A-8389-4E1F-AC3A-48061C93F516}" name="PL (Today)" dataDxfId="11">
      <calculatedColumnFormula>IF(OR(VelanPortfolio[[#This Row],[Previous Close]]="",VelanPortfolio[[#This Row],[CMP]]="",VelanPortfolio[[#This Row],[Quantity]]=""),"",(VelanPortfolio[[#This Row],[CMP]]-VelanPortfolio[[#This Row],[Previous Close]])*VelanPortfolio[[#This Row],[Quantity]])</calculatedColumnFormula>
    </tableColumn>
    <tableColumn id="8" xr3:uid="{92DA97E7-1DED-4F16-A5F4-43C645C2DAB1}" name="PL (Total)" dataDxfId="10">
      <calculatedColumnFormula>IF(OR(VelanPortfolio[[#This Row],[Buy Price]]="",VelanPortfolio[[#This Row],[CMP]]="",VelanPortfolio[[#This Row],[Quantity]]=""),"",(VelanPortfolio[[#This Row],[CMP]]-VelanPortfolio[[#This Row],[Buy Price]])*VelanPortfolio[[#This Row],[Quantity]])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55502C-CEDF-41A9-A491-D4F047BF54DA}" name="PaviPortfolio" displayName="PaviPortfolio" ref="A4:H5" totalsRowShown="0">
  <autoFilter ref="A4:H5" xr:uid="{B755502C-CEDF-41A9-A491-D4F047BF54DA}"/>
  <tableColumns count="8">
    <tableColumn id="1" xr3:uid="{679F9C23-3217-4C50-9469-A9334A8F5E8E}" name="Symbol"/>
    <tableColumn id="2" xr3:uid="{43CB8D08-6A3B-49DB-9B95-0D68F02FBBAC}" name="Name"/>
    <tableColumn id="3" xr3:uid="{65B8CA13-6239-438F-8139-A20F35914046}" name="Buy Price" dataDxfId="7"/>
    <tableColumn id="4" xr3:uid="{9FF3D95F-5CE6-4F58-A3DF-1FF500412FD6}" name="Previous Close" dataDxfId="6"/>
    <tableColumn id="5" xr3:uid="{2E1D3B05-A568-4D52-8945-AF69D217958B}" name="CMP" dataDxfId="5"/>
    <tableColumn id="6" xr3:uid="{FB691575-A0BA-447B-95EF-C25AD6332F0F}" name="Quantity" dataDxfId="4"/>
    <tableColumn id="7" xr3:uid="{8FAEB281-D7E1-4B12-99F7-3C3C2597ACFE}" name="PL (Today)" dataDxfId="3">
      <calculatedColumnFormula>IF(OR(PaviPortfolio[[#This Row],[Previous Close]]="",PaviPortfolio[[#This Row],[CMP]]="",PaviPortfolio[[#This Row],[Quantity]]=""),"",(PaviPortfolio[[#This Row],[CMP]]-PaviPortfolio[[#This Row],[Previous Close]])*PaviPortfolio[[#This Row],[Quantity]])</calculatedColumnFormula>
    </tableColumn>
    <tableColumn id="8" xr3:uid="{E2E9A212-AB13-4093-9613-4882BA09E5BA}" name="PL (Total)" dataDxfId="2">
      <calculatedColumnFormula>IF(OR(PaviPortfolio[[#This Row],[Buy Price]]="",PaviPortfolio[[#This Row],[CMP]]="",PaviPortfolio[[#This Row],[Quantity]]=""),"",(PaviPortfolio[[#This Row],[CMP]]-PaviPortfolio[[#This Row],[Buy Price]])*PaviPortfolio[[#This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50DCE-F7A1-4506-8866-510049214DED}">
  <dimension ref="A1:H13"/>
  <sheetViews>
    <sheetView workbookViewId="0">
      <selection sqref="A1:H1"/>
    </sheetView>
  </sheetViews>
  <sheetFormatPr defaultRowHeight="12.5" x14ac:dyDescent="0.25"/>
  <cols>
    <col min="1" max="1" width="36.36328125" customWidth="1"/>
    <col min="2" max="2" width="63.6328125" customWidth="1"/>
    <col min="3" max="8" width="8.1796875" customWidth="1"/>
  </cols>
  <sheetData>
    <row r="1" spans="1:8" ht="23" x14ac:dyDescent="0.5">
      <c r="A1" s="2" t="s">
        <v>6</v>
      </c>
      <c r="B1" s="2"/>
      <c r="C1" s="2"/>
      <c r="D1" s="2"/>
      <c r="E1" s="2"/>
      <c r="F1" s="2"/>
      <c r="G1" s="2"/>
      <c r="H1" s="2"/>
    </row>
    <row r="2" spans="1:8" ht="13" x14ac:dyDescent="0.3">
      <c r="A2" s="3" t="s">
        <v>7</v>
      </c>
      <c r="B2" s="3"/>
      <c r="C2" s="3"/>
      <c r="D2" s="3"/>
      <c r="E2" s="3"/>
      <c r="F2" s="3"/>
      <c r="G2" s="3"/>
      <c r="H2" s="3"/>
    </row>
    <row r="4" spans="1:8" ht="13" x14ac:dyDescent="0.3">
      <c r="A4" s="4" t="s">
        <v>8</v>
      </c>
      <c r="B4" s="4" t="s">
        <v>9</v>
      </c>
    </row>
    <row r="5" spans="1:8" ht="13" x14ac:dyDescent="0.3">
      <c r="A5" s="8" t="s">
        <v>10</v>
      </c>
      <c r="B5" s="7" t="s">
        <v>11</v>
      </c>
    </row>
    <row r="6" spans="1:8" ht="13" x14ac:dyDescent="0.3">
      <c r="A6" s="8" t="s">
        <v>12</v>
      </c>
      <c r="B6" s="7" t="s">
        <v>13</v>
      </c>
    </row>
    <row r="7" spans="1:8" ht="13" x14ac:dyDescent="0.3">
      <c r="A7" s="8" t="s">
        <v>14</v>
      </c>
      <c r="B7" s="7" t="s">
        <v>15</v>
      </c>
    </row>
    <row r="8" spans="1:8" ht="13" x14ac:dyDescent="0.3">
      <c r="A8" s="8" t="s">
        <v>16</v>
      </c>
      <c r="B8" s="7" t="s">
        <v>17</v>
      </c>
    </row>
    <row r="10" spans="1:8" ht="13" x14ac:dyDescent="0.3">
      <c r="A10" s="5" t="s">
        <v>18</v>
      </c>
      <c r="B10" s="5"/>
      <c r="C10" s="5"/>
      <c r="D10" s="5"/>
      <c r="E10" s="5"/>
      <c r="F10" s="5"/>
      <c r="G10" s="5"/>
      <c r="H10" s="5"/>
    </row>
    <row r="11" spans="1:8" ht="45" customHeight="1" x14ac:dyDescent="0.25">
      <c r="A11" s="6" t="s">
        <v>19</v>
      </c>
      <c r="B11" s="6"/>
      <c r="C11" s="6"/>
      <c r="D11" s="6"/>
      <c r="E11" s="6"/>
      <c r="F11" s="6"/>
      <c r="G11" s="6"/>
      <c r="H11" s="6"/>
    </row>
    <row r="12" spans="1:8" ht="45" customHeight="1" x14ac:dyDescent="0.25">
      <c r="A12" s="6"/>
      <c r="B12" s="6"/>
      <c r="C12" s="6"/>
      <c r="D12" s="6"/>
      <c r="E12" s="6"/>
      <c r="F12" s="6"/>
      <c r="G12" s="6"/>
      <c r="H12" s="6"/>
    </row>
    <row r="13" spans="1:8" ht="45" customHeight="1" x14ac:dyDescent="0.25">
      <c r="A13" s="6"/>
      <c r="B13" s="6"/>
      <c r="C13" s="6"/>
      <c r="D13" s="6"/>
      <c r="E13" s="6"/>
      <c r="F13" s="6"/>
      <c r="G13" s="6"/>
      <c r="H13" s="6"/>
    </row>
  </sheetData>
  <mergeCells count="4">
    <mergeCell ref="A1:H1"/>
    <mergeCell ref="A2:H2"/>
    <mergeCell ref="A10:H10"/>
    <mergeCell ref="A11: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53654-FB13-4895-9E62-F42DCFE8DDE2}">
  <dimension ref="A1:I100"/>
  <sheetViews>
    <sheetView workbookViewId="0">
      <selection activeCell="A2" sqref="A2:I2"/>
    </sheetView>
  </sheetViews>
  <sheetFormatPr defaultRowHeight="12.5" x14ac:dyDescent="0.25"/>
  <cols>
    <col min="1" max="1" width="15.453125" customWidth="1"/>
    <col min="2" max="2" width="13.6328125" customWidth="1"/>
    <col min="3" max="3" width="19.08984375" customWidth="1"/>
    <col min="4" max="9" width="17.26953125" customWidth="1"/>
  </cols>
  <sheetData>
    <row r="1" spans="1:9" ht="23" x14ac:dyDescent="0.5">
      <c r="A1" s="2" t="s">
        <v>27</v>
      </c>
      <c r="B1" s="2"/>
      <c r="C1" s="2"/>
      <c r="D1" s="2"/>
      <c r="E1" s="2"/>
      <c r="F1" s="2"/>
      <c r="G1" s="2"/>
      <c r="H1" s="2"/>
      <c r="I1" s="2"/>
    </row>
    <row r="2" spans="1:9" ht="13" x14ac:dyDescent="0.3">
      <c r="A2" s="3" t="s">
        <v>28</v>
      </c>
      <c r="B2" s="3"/>
      <c r="C2" s="3"/>
      <c r="D2" s="3"/>
      <c r="E2" s="3"/>
      <c r="F2" s="3"/>
      <c r="G2" s="3"/>
      <c r="H2" s="3"/>
      <c r="I2" s="3"/>
    </row>
    <row r="4" spans="1:9" ht="13" x14ac:dyDescent="0.3">
      <c r="A4" s="13" t="s">
        <v>29</v>
      </c>
      <c r="B4" s="13"/>
      <c r="C4" s="13" t="s">
        <v>30</v>
      </c>
      <c r="D4" s="13"/>
      <c r="E4" s="13" t="s">
        <v>31</v>
      </c>
      <c r="F4" s="13"/>
      <c r="G4" s="13" t="s">
        <v>32</v>
      </c>
      <c r="H4" s="13"/>
      <c r="I4" s="13"/>
    </row>
    <row r="5" spans="1:9" x14ac:dyDescent="0.25">
      <c r="A5" s="14" cm="1">
        <f t="array" ref="A5">SUMPRODUCT(IFERROR(VelanPortfolio[Buy Price]*1,0),IFERROR(VelanPortfolio[Quantity]*1,0))+SUMPRODUCT(IFERROR(PaviPortfolio[Buy Price]*1,0),IFERROR(PaviPortfolio[Quantity]*1,0))</f>
        <v>0</v>
      </c>
      <c r="B5" s="14"/>
      <c r="C5" s="14" cm="1">
        <f t="array" ref="C5">SUMPRODUCT(IFERROR(VelanPortfolio[CMP]*1,0),IFERROR(VelanPortfolio[Quantity]*1,0))+SUMPRODUCT(IFERROR(PaviPortfolio[CMP]*1,0),IFERROR(PaviPortfolio[Quantity]*1,0))</f>
        <v>200000</v>
      </c>
      <c r="D5" s="14"/>
      <c r="E5" s="14">
        <f>SUM(VelanPortfolio[PL (Today)])+SUM(PaviPortfolio[PL (Today)])</f>
        <v>0</v>
      </c>
      <c r="F5" s="14"/>
      <c r="G5" s="14">
        <f>SUM(VelanPortfolio[PL (Total)])+SUM(PaviPortfolio[PL (Total)])</f>
        <v>0</v>
      </c>
      <c r="H5" s="14"/>
      <c r="I5" s="14"/>
    </row>
    <row r="6" spans="1:9" x14ac:dyDescent="0.25">
      <c r="A6" s="14"/>
      <c r="B6" s="14"/>
      <c r="C6" s="14"/>
      <c r="D6" s="14"/>
      <c r="E6" s="14"/>
      <c r="F6" s="14"/>
      <c r="G6" s="14"/>
      <c r="H6" s="14"/>
      <c r="I6" s="14"/>
    </row>
    <row r="8" spans="1:9" ht="13" x14ac:dyDescent="0.3">
      <c r="A8" s="4" t="s">
        <v>33</v>
      </c>
      <c r="B8" s="4" t="s">
        <v>34</v>
      </c>
      <c r="C8" s="4" t="s">
        <v>35</v>
      </c>
      <c r="D8" s="4" t="s">
        <v>30</v>
      </c>
      <c r="E8" s="4" t="s">
        <v>31</v>
      </c>
      <c r="F8" s="4" t="s">
        <v>32</v>
      </c>
    </row>
    <row r="9" spans="1:9" x14ac:dyDescent="0.25">
      <c r="A9" t="s">
        <v>12</v>
      </c>
      <c r="B9" s="11">
        <f>COUNTIF(VelanPortfolio[Symbol],"&lt;&gt;")</f>
        <v>1</v>
      </c>
      <c r="C9" s="12" cm="1">
        <f t="array" ref="C9">SUMPRODUCT(IFERROR(VelanPortfolio[Buy Price]*1,0),IFERROR(VelanPortfolio[Quantity]*1,0))</f>
        <v>0</v>
      </c>
      <c r="D9" s="12" cm="1">
        <f t="array" ref="D9">SUMPRODUCT(IFERROR(VelanPortfolio[CMP]*1,0),IFERROR(VelanPortfolio[Quantity]*1,0))</f>
        <v>200000</v>
      </c>
      <c r="E9" s="12">
        <f>SUM(VelanPortfolio[PL (Today)])</f>
        <v>0</v>
      </c>
      <c r="F9" s="12">
        <f>SUM(VelanPortfolio[PL (Total)])</f>
        <v>0</v>
      </c>
    </row>
    <row r="10" spans="1:9" x14ac:dyDescent="0.25">
      <c r="A10" t="s">
        <v>14</v>
      </c>
      <c r="B10" s="11">
        <f>COUNTIF(PaviPortfolio[Symbol],"&lt;&gt;")</f>
        <v>0</v>
      </c>
      <c r="C10" s="12" cm="1">
        <f t="array" ref="C10">SUMPRODUCT(IFERROR(PaviPortfolio[Buy Price]*1,0),IFERROR(PaviPortfolio[Quantity]*1,0))</f>
        <v>0</v>
      </c>
      <c r="D10" s="12" cm="1">
        <f t="array" ref="D10">SUMPRODUCT(IFERROR(PaviPortfolio[CMP]*1,0),IFERROR(PaviPortfolio[Quantity]*1,0))</f>
        <v>0</v>
      </c>
      <c r="E10" s="12">
        <f>SUM(PaviPortfolio[PL (Today)])</f>
        <v>0</v>
      </c>
      <c r="F10" s="12">
        <f>SUM(PaviPortfolio[PL (Total)])</f>
        <v>0</v>
      </c>
    </row>
    <row r="11" spans="1:9" ht="13" x14ac:dyDescent="0.3">
      <c r="A11" s="15" t="s">
        <v>36</v>
      </c>
      <c r="B11" s="16">
        <f>SUM(B9:B10)</f>
        <v>1</v>
      </c>
      <c r="C11" s="17">
        <f>SUM(C9:C10)</f>
        <v>0</v>
      </c>
      <c r="D11" s="17">
        <f>SUM(D9:D10)</f>
        <v>200000</v>
      </c>
      <c r="E11" s="17">
        <f>SUM(E9:E10)</f>
        <v>0</v>
      </c>
      <c r="F11" s="17">
        <f>SUM(F9:F10)</f>
        <v>0</v>
      </c>
    </row>
    <row r="13" spans="1:9" ht="13" x14ac:dyDescent="0.3">
      <c r="A13" s="5" t="s">
        <v>37</v>
      </c>
      <c r="B13" s="5"/>
      <c r="C13" s="5"/>
      <c r="D13" s="5"/>
      <c r="E13" s="5"/>
      <c r="F13" s="5"/>
      <c r="G13" s="5"/>
      <c r="H13" s="5"/>
      <c r="I13" s="5"/>
    </row>
    <row r="14" spans="1:9" ht="42" customHeight="1" x14ac:dyDescent="0.25">
      <c r="A14" s="18" t="s">
        <v>38</v>
      </c>
      <c r="B14" s="18"/>
      <c r="C14" s="18"/>
      <c r="D14" s="18"/>
      <c r="E14" s="18"/>
      <c r="F14" s="18"/>
      <c r="G14" s="18"/>
      <c r="H14" s="18"/>
      <c r="I14" s="18"/>
    </row>
    <row r="15" spans="1:9" ht="42" customHeight="1" x14ac:dyDescent="0.25">
      <c r="A15" s="18"/>
      <c r="B15" s="18"/>
      <c r="C15" s="18"/>
      <c r="D15" s="18"/>
      <c r="E15" s="18"/>
      <c r="F15" s="18"/>
      <c r="G15" s="18"/>
      <c r="H15" s="18"/>
      <c r="I15" s="18"/>
    </row>
    <row r="17" spans="1:9" ht="13" x14ac:dyDescent="0.3">
      <c r="A17" s="5" t="s">
        <v>39</v>
      </c>
      <c r="B17" s="5"/>
      <c r="C17" s="5"/>
      <c r="D17" s="5"/>
      <c r="E17" s="5"/>
      <c r="F17" s="5"/>
      <c r="G17" s="5"/>
      <c r="H17" s="5"/>
      <c r="I17" s="5"/>
    </row>
    <row r="18" spans="1:9" ht="13" x14ac:dyDescent="0.3">
      <c r="A18" s="1" t="str" cm="1">
        <f t="array" ref="A18:I19">_xlfn.LET(_xlpm.v,_xlfn.HSTACK(IF(VelanPortfolio[Symbol]&lt;&gt;"","Velan",""),VelanPortfolio[Symbol],VelanPortfolio[Name],IF(VelanPortfolio[Buy Price]="","",VelanPortfolio[Buy Price]),IF(VelanPortfolio[Previous Close]="","",VelanPortfolio[Previous Close]),IF(VelanPortfolio[CMP]="","",VelanPortfolio[CMP]),IF(VelanPortfolio[Quantity]="","",VelanPortfolio[Quantity]),VelanPortfolio[PL (Today)],VelanPortfolio[PL (Total)]),_xlpm.p,_xlfn.HSTACK(IF(PaviPortfolio[Symbol]&lt;&gt;"","Pavi",""),PaviPortfolio[Symbol],PaviPortfolio[Name],IF(PaviPortfolio[Buy Price]="","",PaviPortfolio[Buy Price]),IF(PaviPortfolio[Previous Close]="","",PaviPortfolio[Previous Close]),IF(PaviPortfolio[CMP]="","",PaviPortfolio[CMP]),IF(PaviPortfolio[Quantity]="","",PaviPortfolio[Quantity]),PaviPortfolio[PL (Today)],PaviPortfolio[PL (Total)]),_xlpm.x,_xlfn.VSTACK(_xlpm.v,_xlpm.p),_xlfn.VSTACK({"Owner","Symbol","Name","Buy Price","Previous Close","CMP","Quantity","PL (Today)","PL (Total)"},_xlfn._xlws.FILTER(_xlpm.x,_xlfn.CHOOSECOLS(_xlpm.x,2)&lt;&gt;"","No records")))</f>
        <v>Owner</v>
      </c>
      <c r="B18" s="1" t="str">
        <v>Symbol</v>
      </c>
      <c r="C18" s="1" t="str">
        <v>Name</v>
      </c>
      <c r="D18" s="1" t="str">
        <v>Buy Price</v>
      </c>
      <c r="E18" s="1" t="str">
        <v>Previous Close</v>
      </c>
      <c r="F18" s="1" t="str">
        <v>CMP</v>
      </c>
      <c r="G18" s="1" t="str">
        <v>Quantity</v>
      </c>
      <c r="H18" s="1" t="str">
        <v>PL (Today)</v>
      </c>
      <c r="I18" s="1" t="str">
        <v>PL (Total)</v>
      </c>
    </row>
    <row r="19" spans="1:9" x14ac:dyDescent="0.25">
      <c r="A19" t="str">
        <v>Velan</v>
      </c>
      <c r="B19" t="str">
        <v>ANANTRAJ</v>
      </c>
      <c r="C19" t="str">
        <v>AnantRaj</v>
      </c>
      <c r="D19" s="10" t="str">
        <v/>
      </c>
      <c r="E19" s="10" t="str">
        <v/>
      </c>
      <c r="F19" s="10">
        <v>200</v>
      </c>
      <c r="G19" s="11">
        <v>1000</v>
      </c>
      <c r="H19" s="12" t="str">
        <v/>
      </c>
      <c r="I19" s="12" t="str">
        <v/>
      </c>
    </row>
    <row r="20" spans="1:9" x14ac:dyDescent="0.25">
      <c r="D20" s="10"/>
      <c r="E20" s="10"/>
      <c r="F20" s="10"/>
      <c r="G20" s="11"/>
      <c r="H20" s="12"/>
      <c r="I20" s="12"/>
    </row>
    <row r="21" spans="1:9" x14ac:dyDescent="0.25">
      <c r="D21" s="10"/>
      <c r="E21" s="10"/>
      <c r="F21" s="10"/>
      <c r="G21" s="11"/>
      <c r="H21" s="12"/>
      <c r="I21" s="12"/>
    </row>
    <row r="22" spans="1:9" x14ac:dyDescent="0.25">
      <c r="D22" s="10"/>
      <c r="E22" s="10"/>
      <c r="F22" s="10"/>
      <c r="G22" s="11"/>
      <c r="H22" s="12"/>
      <c r="I22" s="12"/>
    </row>
    <row r="23" spans="1:9" x14ac:dyDescent="0.25">
      <c r="D23" s="10"/>
      <c r="E23" s="10"/>
      <c r="F23" s="10"/>
      <c r="G23" s="11"/>
      <c r="H23" s="12"/>
      <c r="I23" s="12"/>
    </row>
    <row r="24" spans="1:9" x14ac:dyDescent="0.25">
      <c r="D24" s="10"/>
      <c r="E24" s="10"/>
      <c r="F24" s="10"/>
      <c r="G24" s="11"/>
      <c r="H24" s="12"/>
      <c r="I24" s="12"/>
    </row>
    <row r="25" spans="1:9" x14ac:dyDescent="0.25">
      <c r="D25" s="10"/>
      <c r="E25" s="10"/>
      <c r="F25" s="10"/>
      <c r="G25" s="11"/>
      <c r="H25" s="12"/>
      <c r="I25" s="12"/>
    </row>
    <row r="26" spans="1:9" x14ac:dyDescent="0.25">
      <c r="D26" s="10"/>
      <c r="E26" s="10"/>
      <c r="F26" s="10"/>
      <c r="G26" s="11"/>
      <c r="H26" s="12"/>
      <c r="I26" s="12"/>
    </row>
    <row r="27" spans="1:9" x14ac:dyDescent="0.25">
      <c r="D27" s="10"/>
      <c r="E27" s="10"/>
      <c r="F27" s="10"/>
      <c r="G27" s="11"/>
      <c r="H27" s="12"/>
      <c r="I27" s="12"/>
    </row>
    <row r="28" spans="1:9" x14ac:dyDescent="0.25">
      <c r="D28" s="10"/>
      <c r="E28" s="10"/>
      <c r="F28" s="10"/>
      <c r="G28" s="11"/>
      <c r="H28" s="12"/>
      <c r="I28" s="12"/>
    </row>
    <row r="29" spans="1:9" x14ac:dyDescent="0.25">
      <c r="D29" s="10"/>
      <c r="E29" s="10"/>
      <c r="F29" s="10"/>
      <c r="G29" s="11"/>
      <c r="H29" s="12"/>
      <c r="I29" s="12"/>
    </row>
    <row r="30" spans="1:9" x14ac:dyDescent="0.25">
      <c r="D30" s="10"/>
      <c r="E30" s="10"/>
      <c r="F30" s="10"/>
      <c r="G30" s="11"/>
      <c r="H30" s="12"/>
      <c r="I30" s="12"/>
    </row>
    <row r="31" spans="1:9" x14ac:dyDescent="0.25">
      <c r="D31" s="10"/>
      <c r="E31" s="10"/>
      <c r="F31" s="10"/>
      <c r="G31" s="11"/>
      <c r="H31" s="12"/>
      <c r="I31" s="12"/>
    </row>
    <row r="32" spans="1:9" x14ac:dyDescent="0.25">
      <c r="D32" s="10"/>
      <c r="E32" s="10"/>
      <c r="F32" s="10"/>
      <c r="G32" s="11"/>
      <c r="H32" s="12"/>
      <c r="I32" s="12"/>
    </row>
    <row r="33" spans="4:9" x14ac:dyDescent="0.25">
      <c r="D33" s="10"/>
      <c r="E33" s="10"/>
      <c r="F33" s="10"/>
      <c r="G33" s="11"/>
      <c r="H33" s="12"/>
      <c r="I33" s="12"/>
    </row>
    <row r="34" spans="4:9" x14ac:dyDescent="0.25">
      <c r="D34" s="10"/>
      <c r="E34" s="10"/>
      <c r="F34" s="10"/>
      <c r="G34" s="11"/>
      <c r="H34" s="12"/>
      <c r="I34" s="12"/>
    </row>
    <row r="35" spans="4:9" x14ac:dyDescent="0.25">
      <c r="D35" s="10"/>
      <c r="E35" s="10"/>
      <c r="F35" s="10"/>
      <c r="G35" s="11"/>
      <c r="H35" s="12"/>
      <c r="I35" s="12"/>
    </row>
    <row r="36" spans="4:9" x14ac:dyDescent="0.25">
      <c r="D36" s="10"/>
      <c r="E36" s="10"/>
      <c r="F36" s="10"/>
      <c r="G36" s="11"/>
      <c r="H36" s="12"/>
      <c r="I36" s="12"/>
    </row>
    <row r="37" spans="4:9" x14ac:dyDescent="0.25">
      <c r="D37" s="10"/>
      <c r="E37" s="10"/>
      <c r="F37" s="10"/>
      <c r="G37" s="11"/>
      <c r="H37" s="12"/>
      <c r="I37" s="12"/>
    </row>
    <row r="38" spans="4:9" x14ac:dyDescent="0.25">
      <c r="D38" s="10"/>
      <c r="E38" s="10"/>
      <c r="F38" s="10"/>
      <c r="G38" s="11"/>
      <c r="H38" s="12"/>
      <c r="I38" s="12"/>
    </row>
    <row r="39" spans="4:9" x14ac:dyDescent="0.25">
      <c r="D39" s="10"/>
      <c r="E39" s="10"/>
      <c r="F39" s="10"/>
      <c r="G39" s="11"/>
      <c r="H39" s="12"/>
      <c r="I39" s="12"/>
    </row>
    <row r="40" spans="4:9" x14ac:dyDescent="0.25">
      <c r="D40" s="10"/>
      <c r="E40" s="10"/>
      <c r="F40" s="10"/>
      <c r="G40" s="11"/>
      <c r="H40" s="12"/>
      <c r="I40" s="12"/>
    </row>
    <row r="41" spans="4:9" x14ac:dyDescent="0.25">
      <c r="D41" s="10"/>
      <c r="E41" s="10"/>
      <c r="F41" s="10"/>
      <c r="G41" s="11"/>
      <c r="H41" s="12"/>
      <c r="I41" s="12"/>
    </row>
    <row r="42" spans="4:9" x14ac:dyDescent="0.25">
      <c r="D42" s="10"/>
      <c r="E42" s="10"/>
      <c r="F42" s="10"/>
      <c r="G42" s="11"/>
      <c r="H42" s="12"/>
      <c r="I42" s="12"/>
    </row>
    <row r="43" spans="4:9" x14ac:dyDescent="0.25">
      <c r="D43" s="10"/>
      <c r="E43" s="10"/>
      <c r="F43" s="10"/>
      <c r="G43" s="11"/>
      <c r="H43" s="12"/>
      <c r="I43" s="12"/>
    </row>
    <row r="44" spans="4:9" x14ac:dyDescent="0.25">
      <c r="D44" s="10"/>
      <c r="E44" s="10"/>
      <c r="F44" s="10"/>
      <c r="G44" s="11"/>
      <c r="H44" s="12"/>
      <c r="I44" s="12"/>
    </row>
    <row r="45" spans="4:9" x14ac:dyDescent="0.25">
      <c r="D45" s="10"/>
      <c r="E45" s="10"/>
      <c r="F45" s="10"/>
      <c r="G45" s="11"/>
      <c r="H45" s="12"/>
      <c r="I45" s="12"/>
    </row>
    <row r="46" spans="4:9" x14ac:dyDescent="0.25">
      <c r="D46" s="10"/>
      <c r="E46" s="10"/>
      <c r="F46" s="10"/>
      <c r="G46" s="11"/>
      <c r="H46" s="12"/>
      <c r="I46" s="12"/>
    </row>
    <row r="47" spans="4:9" x14ac:dyDescent="0.25">
      <c r="D47" s="10"/>
      <c r="E47" s="10"/>
      <c r="F47" s="10"/>
      <c r="G47" s="11"/>
      <c r="H47" s="12"/>
      <c r="I47" s="12"/>
    </row>
    <row r="48" spans="4:9" x14ac:dyDescent="0.25">
      <c r="D48" s="10"/>
      <c r="E48" s="10"/>
      <c r="F48" s="10"/>
      <c r="G48" s="11"/>
      <c r="H48" s="12"/>
      <c r="I48" s="12"/>
    </row>
    <row r="49" spans="4:9" x14ac:dyDescent="0.25">
      <c r="D49" s="10"/>
      <c r="E49" s="10"/>
      <c r="F49" s="10"/>
      <c r="G49" s="11"/>
      <c r="H49" s="12"/>
      <c r="I49" s="12"/>
    </row>
    <row r="50" spans="4:9" x14ac:dyDescent="0.25">
      <c r="D50" s="10"/>
      <c r="E50" s="10"/>
      <c r="F50" s="10"/>
      <c r="G50" s="11"/>
      <c r="H50" s="12"/>
      <c r="I50" s="12"/>
    </row>
    <row r="51" spans="4:9" x14ac:dyDescent="0.25">
      <c r="D51" s="10"/>
      <c r="E51" s="10"/>
      <c r="F51" s="10"/>
      <c r="G51" s="11"/>
      <c r="H51" s="12"/>
      <c r="I51" s="12"/>
    </row>
    <row r="52" spans="4:9" x14ac:dyDescent="0.25">
      <c r="D52" s="10"/>
      <c r="E52" s="10"/>
      <c r="F52" s="10"/>
      <c r="G52" s="11"/>
      <c r="H52" s="12"/>
      <c r="I52" s="12"/>
    </row>
    <row r="53" spans="4:9" x14ac:dyDescent="0.25">
      <c r="D53" s="10"/>
      <c r="E53" s="10"/>
      <c r="F53" s="10"/>
      <c r="G53" s="11"/>
      <c r="H53" s="12"/>
      <c r="I53" s="12"/>
    </row>
    <row r="54" spans="4:9" x14ac:dyDescent="0.25">
      <c r="D54" s="10"/>
      <c r="E54" s="10"/>
      <c r="F54" s="10"/>
      <c r="G54" s="11"/>
      <c r="H54" s="12"/>
      <c r="I54" s="12"/>
    </row>
    <row r="55" spans="4:9" x14ac:dyDescent="0.25">
      <c r="D55" s="10"/>
      <c r="E55" s="10"/>
      <c r="F55" s="10"/>
      <c r="G55" s="11"/>
      <c r="H55" s="12"/>
      <c r="I55" s="12"/>
    </row>
    <row r="56" spans="4:9" x14ac:dyDescent="0.25">
      <c r="D56" s="10"/>
      <c r="E56" s="10"/>
      <c r="F56" s="10"/>
      <c r="G56" s="11"/>
      <c r="H56" s="12"/>
      <c r="I56" s="12"/>
    </row>
    <row r="57" spans="4:9" x14ac:dyDescent="0.25">
      <c r="D57" s="10"/>
      <c r="E57" s="10"/>
      <c r="F57" s="10"/>
      <c r="G57" s="11"/>
      <c r="H57" s="12"/>
      <c r="I57" s="12"/>
    </row>
    <row r="58" spans="4:9" x14ac:dyDescent="0.25">
      <c r="D58" s="10"/>
      <c r="E58" s="10"/>
      <c r="F58" s="10"/>
      <c r="G58" s="11"/>
      <c r="H58" s="12"/>
      <c r="I58" s="12"/>
    </row>
    <row r="59" spans="4:9" x14ac:dyDescent="0.25">
      <c r="D59" s="10"/>
      <c r="E59" s="10"/>
      <c r="F59" s="10"/>
      <c r="G59" s="11"/>
      <c r="H59" s="12"/>
      <c r="I59" s="12"/>
    </row>
    <row r="60" spans="4:9" x14ac:dyDescent="0.25">
      <c r="D60" s="10"/>
      <c r="E60" s="10"/>
      <c r="F60" s="10"/>
      <c r="G60" s="11"/>
      <c r="H60" s="12"/>
      <c r="I60" s="12"/>
    </row>
    <row r="61" spans="4:9" x14ac:dyDescent="0.25">
      <c r="D61" s="10"/>
      <c r="E61" s="10"/>
      <c r="F61" s="10"/>
      <c r="G61" s="11"/>
      <c r="H61" s="12"/>
      <c r="I61" s="12"/>
    </row>
    <row r="62" spans="4:9" x14ac:dyDescent="0.25">
      <c r="D62" s="10"/>
      <c r="E62" s="10"/>
      <c r="F62" s="10"/>
      <c r="G62" s="11"/>
      <c r="H62" s="12"/>
      <c r="I62" s="12"/>
    </row>
    <row r="63" spans="4:9" x14ac:dyDescent="0.25">
      <c r="D63" s="10"/>
      <c r="E63" s="10"/>
      <c r="F63" s="10"/>
      <c r="G63" s="11"/>
      <c r="H63" s="12"/>
      <c r="I63" s="12"/>
    </row>
    <row r="64" spans="4:9" x14ac:dyDescent="0.25">
      <c r="D64" s="10"/>
      <c r="E64" s="10"/>
      <c r="F64" s="10"/>
      <c r="G64" s="11"/>
      <c r="H64" s="12"/>
      <c r="I64" s="12"/>
    </row>
    <row r="65" spans="4:9" x14ac:dyDescent="0.25">
      <c r="D65" s="10"/>
      <c r="E65" s="10"/>
      <c r="F65" s="10"/>
      <c r="G65" s="11"/>
      <c r="H65" s="12"/>
      <c r="I65" s="12"/>
    </row>
    <row r="66" spans="4:9" x14ac:dyDescent="0.25">
      <c r="D66" s="10"/>
      <c r="E66" s="10"/>
      <c r="F66" s="10"/>
      <c r="G66" s="11"/>
      <c r="H66" s="12"/>
      <c r="I66" s="12"/>
    </row>
    <row r="67" spans="4:9" x14ac:dyDescent="0.25">
      <c r="D67" s="10"/>
      <c r="E67" s="10"/>
      <c r="F67" s="10"/>
      <c r="G67" s="11"/>
      <c r="H67" s="12"/>
      <c r="I67" s="12"/>
    </row>
    <row r="68" spans="4:9" x14ac:dyDescent="0.25">
      <c r="D68" s="10"/>
      <c r="E68" s="10"/>
      <c r="F68" s="10"/>
      <c r="G68" s="11"/>
      <c r="H68" s="12"/>
      <c r="I68" s="12"/>
    </row>
    <row r="69" spans="4:9" x14ac:dyDescent="0.25">
      <c r="D69" s="10"/>
      <c r="E69" s="10"/>
      <c r="F69" s="10"/>
      <c r="G69" s="11"/>
      <c r="H69" s="12"/>
      <c r="I69" s="12"/>
    </row>
    <row r="70" spans="4:9" x14ac:dyDescent="0.25">
      <c r="D70" s="10"/>
      <c r="E70" s="10"/>
      <c r="F70" s="10"/>
      <c r="G70" s="11"/>
      <c r="H70" s="12"/>
      <c r="I70" s="12"/>
    </row>
    <row r="71" spans="4:9" x14ac:dyDescent="0.25">
      <c r="D71" s="10"/>
      <c r="E71" s="10"/>
      <c r="F71" s="10"/>
      <c r="G71" s="11"/>
      <c r="H71" s="12"/>
      <c r="I71" s="12"/>
    </row>
    <row r="72" spans="4:9" x14ac:dyDescent="0.25">
      <c r="D72" s="10"/>
      <c r="E72" s="10"/>
      <c r="F72" s="10"/>
      <c r="G72" s="11"/>
      <c r="H72" s="12"/>
      <c r="I72" s="12"/>
    </row>
    <row r="73" spans="4:9" x14ac:dyDescent="0.25">
      <c r="D73" s="10"/>
      <c r="E73" s="10"/>
      <c r="F73" s="10"/>
      <c r="G73" s="11"/>
      <c r="H73" s="12"/>
      <c r="I73" s="12"/>
    </row>
    <row r="74" spans="4:9" x14ac:dyDescent="0.25">
      <c r="D74" s="10"/>
      <c r="E74" s="10"/>
      <c r="F74" s="10"/>
      <c r="G74" s="11"/>
      <c r="H74" s="12"/>
      <c r="I74" s="12"/>
    </row>
    <row r="75" spans="4:9" x14ac:dyDescent="0.25">
      <c r="D75" s="10"/>
      <c r="E75" s="10"/>
      <c r="F75" s="10"/>
      <c r="G75" s="11"/>
      <c r="H75" s="12"/>
      <c r="I75" s="12"/>
    </row>
    <row r="76" spans="4:9" x14ac:dyDescent="0.25">
      <c r="D76" s="10"/>
      <c r="E76" s="10"/>
      <c r="F76" s="10"/>
      <c r="G76" s="11"/>
      <c r="H76" s="12"/>
      <c r="I76" s="12"/>
    </row>
    <row r="77" spans="4:9" x14ac:dyDescent="0.25">
      <c r="D77" s="10"/>
      <c r="E77" s="10"/>
      <c r="F77" s="10"/>
      <c r="G77" s="11"/>
      <c r="H77" s="12"/>
      <c r="I77" s="12"/>
    </row>
    <row r="78" spans="4:9" x14ac:dyDescent="0.25">
      <c r="D78" s="10"/>
      <c r="E78" s="10"/>
      <c r="F78" s="10"/>
      <c r="G78" s="11"/>
      <c r="H78" s="12"/>
      <c r="I78" s="12"/>
    </row>
    <row r="79" spans="4:9" x14ac:dyDescent="0.25">
      <c r="D79" s="10"/>
      <c r="E79" s="10"/>
      <c r="F79" s="10"/>
      <c r="G79" s="11"/>
      <c r="H79" s="12"/>
      <c r="I79" s="12"/>
    </row>
    <row r="80" spans="4:9" x14ac:dyDescent="0.25">
      <c r="D80" s="10"/>
      <c r="E80" s="10"/>
      <c r="F80" s="10"/>
      <c r="G80" s="11"/>
      <c r="H80" s="12"/>
      <c r="I80" s="12"/>
    </row>
    <row r="81" spans="4:9" x14ac:dyDescent="0.25">
      <c r="D81" s="10"/>
      <c r="E81" s="10"/>
      <c r="F81" s="10"/>
      <c r="G81" s="11"/>
      <c r="H81" s="12"/>
      <c r="I81" s="12"/>
    </row>
    <row r="82" spans="4:9" x14ac:dyDescent="0.25">
      <c r="D82" s="10"/>
      <c r="E82" s="10"/>
      <c r="F82" s="10"/>
      <c r="G82" s="11"/>
      <c r="H82" s="12"/>
      <c r="I82" s="12"/>
    </row>
    <row r="83" spans="4:9" x14ac:dyDescent="0.25">
      <c r="D83" s="10"/>
      <c r="E83" s="10"/>
      <c r="F83" s="10"/>
      <c r="G83" s="11"/>
      <c r="H83" s="12"/>
      <c r="I83" s="12"/>
    </row>
    <row r="84" spans="4:9" x14ac:dyDescent="0.25">
      <c r="D84" s="10"/>
      <c r="E84" s="10"/>
      <c r="F84" s="10"/>
      <c r="G84" s="11"/>
      <c r="H84" s="12"/>
      <c r="I84" s="12"/>
    </row>
    <row r="85" spans="4:9" x14ac:dyDescent="0.25">
      <c r="D85" s="10"/>
      <c r="E85" s="10"/>
      <c r="F85" s="10"/>
      <c r="G85" s="11"/>
      <c r="H85" s="12"/>
      <c r="I85" s="12"/>
    </row>
    <row r="86" spans="4:9" x14ac:dyDescent="0.25">
      <c r="D86" s="10"/>
      <c r="E86" s="10"/>
      <c r="F86" s="10"/>
      <c r="G86" s="11"/>
      <c r="H86" s="12"/>
      <c r="I86" s="12"/>
    </row>
    <row r="87" spans="4:9" x14ac:dyDescent="0.25">
      <c r="D87" s="10"/>
      <c r="E87" s="10"/>
      <c r="F87" s="10"/>
      <c r="G87" s="11"/>
      <c r="H87" s="12"/>
      <c r="I87" s="12"/>
    </row>
    <row r="88" spans="4:9" x14ac:dyDescent="0.25">
      <c r="D88" s="10"/>
      <c r="E88" s="10"/>
      <c r="F88" s="10"/>
      <c r="G88" s="11"/>
      <c r="H88" s="12"/>
      <c r="I88" s="12"/>
    </row>
    <row r="89" spans="4:9" x14ac:dyDescent="0.25">
      <c r="D89" s="10"/>
      <c r="E89" s="10"/>
      <c r="F89" s="10"/>
      <c r="G89" s="11"/>
      <c r="H89" s="12"/>
      <c r="I89" s="12"/>
    </row>
    <row r="90" spans="4:9" x14ac:dyDescent="0.25">
      <c r="D90" s="10"/>
      <c r="E90" s="10"/>
      <c r="F90" s="10"/>
      <c r="G90" s="11"/>
      <c r="H90" s="12"/>
      <c r="I90" s="12"/>
    </row>
    <row r="91" spans="4:9" x14ac:dyDescent="0.25">
      <c r="D91" s="10"/>
      <c r="E91" s="10"/>
      <c r="F91" s="10"/>
      <c r="G91" s="11"/>
      <c r="H91" s="12"/>
      <c r="I91" s="12"/>
    </row>
    <row r="92" spans="4:9" x14ac:dyDescent="0.25">
      <c r="D92" s="10"/>
      <c r="E92" s="10"/>
      <c r="F92" s="10"/>
      <c r="G92" s="11"/>
      <c r="H92" s="12"/>
      <c r="I92" s="12"/>
    </row>
    <row r="93" spans="4:9" x14ac:dyDescent="0.25">
      <c r="D93" s="10"/>
      <c r="E93" s="10"/>
      <c r="F93" s="10"/>
      <c r="G93" s="11"/>
      <c r="H93" s="12"/>
      <c r="I93" s="12"/>
    </row>
    <row r="94" spans="4:9" x14ac:dyDescent="0.25">
      <c r="D94" s="10"/>
      <c r="E94" s="10"/>
      <c r="F94" s="10"/>
      <c r="G94" s="11"/>
      <c r="H94" s="12"/>
      <c r="I94" s="12"/>
    </row>
    <row r="95" spans="4:9" x14ac:dyDescent="0.25">
      <c r="D95" s="10"/>
      <c r="E95" s="10"/>
      <c r="F95" s="10"/>
      <c r="G95" s="11"/>
      <c r="H95" s="12"/>
      <c r="I95" s="12"/>
    </row>
    <row r="96" spans="4:9" x14ac:dyDescent="0.25">
      <c r="D96" s="10"/>
      <c r="E96" s="10"/>
      <c r="F96" s="10"/>
      <c r="G96" s="11"/>
      <c r="H96" s="12"/>
      <c r="I96" s="12"/>
    </row>
    <row r="97" spans="4:9" x14ac:dyDescent="0.25">
      <c r="D97" s="10"/>
      <c r="E97" s="10"/>
      <c r="F97" s="10"/>
      <c r="G97" s="11"/>
      <c r="H97" s="12"/>
      <c r="I97" s="12"/>
    </row>
    <row r="98" spans="4:9" x14ac:dyDescent="0.25">
      <c r="D98" s="10"/>
      <c r="E98" s="10"/>
      <c r="F98" s="10"/>
      <c r="G98" s="11"/>
      <c r="H98" s="12"/>
      <c r="I98" s="12"/>
    </row>
    <row r="99" spans="4:9" x14ac:dyDescent="0.25">
      <c r="D99" s="10"/>
      <c r="E99" s="10"/>
      <c r="F99" s="10"/>
      <c r="G99" s="11"/>
      <c r="H99" s="12"/>
      <c r="I99" s="12"/>
    </row>
    <row r="100" spans="4:9" x14ac:dyDescent="0.25">
      <c r="D100" s="10"/>
      <c r="E100" s="10"/>
      <c r="F100" s="10"/>
      <c r="G100" s="11"/>
      <c r="H100" s="12"/>
      <c r="I100" s="12"/>
    </row>
  </sheetData>
  <mergeCells count="13">
    <mergeCell ref="A17:I17"/>
    <mergeCell ref="A5:B6"/>
    <mergeCell ref="C5:D6"/>
    <mergeCell ref="E5:F6"/>
    <mergeCell ref="G5:I6"/>
    <mergeCell ref="A13:I13"/>
    <mergeCell ref="A14:I15"/>
    <mergeCell ref="A1:I1"/>
    <mergeCell ref="A2:I2"/>
    <mergeCell ref="A4:B4"/>
    <mergeCell ref="C4:D4"/>
    <mergeCell ref="E4:F4"/>
    <mergeCell ref="G4:I4"/>
  </mergeCells>
  <pageMargins left="0.7" right="0.7" top="0.75" bottom="0.75" header="0.3" footer="0.3"/>
  <headerFooter>
    <oddHeader>&amp;L&amp;"Arial"&amp;9&amp;KA80000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D8E8D-30BB-4C15-890A-B227EBA196A5}">
  <dimension ref="A1:H100"/>
  <sheetViews>
    <sheetView tabSelected="1" workbookViewId="0">
      <selection activeCell="F5" sqref="F5"/>
    </sheetView>
  </sheetViews>
  <sheetFormatPr defaultRowHeight="12.5" x14ac:dyDescent="0.25"/>
  <cols>
    <col min="1" max="1" width="16.36328125" customWidth="1"/>
    <col min="2" max="2" width="21.81640625" customWidth="1"/>
    <col min="3" max="5" width="17.26953125" customWidth="1"/>
    <col min="6" max="6" width="13.6328125" customWidth="1"/>
    <col min="7" max="8" width="18.1796875" customWidth="1"/>
  </cols>
  <sheetData>
    <row r="1" spans="1:8" ht="23" x14ac:dyDescent="0.5">
      <c r="A1" s="2" t="s">
        <v>20</v>
      </c>
      <c r="B1" s="2"/>
      <c r="C1" s="2"/>
      <c r="D1" s="2"/>
      <c r="E1" s="2"/>
      <c r="F1" s="2"/>
      <c r="G1" s="2"/>
      <c r="H1" s="2"/>
    </row>
    <row r="2" spans="1:8" ht="13" x14ac:dyDescent="0.3">
      <c r="A2" s="9" t="s">
        <v>21</v>
      </c>
      <c r="B2" s="9"/>
      <c r="C2" s="9"/>
      <c r="D2" s="9"/>
      <c r="E2" s="9"/>
      <c r="F2" s="9"/>
      <c r="G2" s="9"/>
      <c r="H2" s="9"/>
    </row>
    <row r="4" spans="1:8" x14ac:dyDescent="0.25">
      <c r="A4" t="s">
        <v>0</v>
      </c>
      <c r="B4" t="s">
        <v>2</v>
      </c>
      <c r="C4" t="s">
        <v>23</v>
      </c>
      <c r="D4" t="s">
        <v>24</v>
      </c>
      <c r="E4" t="s">
        <v>1</v>
      </c>
      <c r="F4" t="s">
        <v>3</v>
      </c>
      <c r="G4" t="s">
        <v>25</v>
      </c>
      <c r="H4" t="s">
        <v>26</v>
      </c>
    </row>
    <row r="5" spans="1:8" x14ac:dyDescent="0.25">
      <c r="A5" t="s">
        <v>4</v>
      </c>
      <c r="B5" t="s">
        <v>5</v>
      </c>
      <c r="C5" s="10"/>
      <c r="D5" s="10"/>
      <c r="E5" s="10">
        <v>200</v>
      </c>
      <c r="F5" s="11">
        <v>1000</v>
      </c>
      <c r="G5" s="12" t="str">
        <f>IF(OR(VelanPortfolio[[#This Row],[Previous Close]]="",VelanPortfolio[[#This Row],[CMP]]="",VelanPortfolio[[#This Row],[Quantity]]=""),"",(VelanPortfolio[[#This Row],[CMP]]-VelanPortfolio[[#This Row],[Previous Close]])*VelanPortfolio[[#This Row],[Quantity]])</f>
        <v/>
      </c>
      <c r="H5" s="12" t="str">
        <f>IF(OR(VelanPortfolio[[#This Row],[Buy Price]]="",VelanPortfolio[[#This Row],[CMP]]="",VelanPortfolio[[#This Row],[Quantity]]=""),"",(VelanPortfolio[[#This Row],[CMP]]-VelanPortfolio[[#This Row],[Buy Price]])*VelanPortfolio[[#This Row],[Quantity]])</f>
        <v/>
      </c>
    </row>
    <row r="6" spans="1:8" x14ac:dyDescent="0.25">
      <c r="C6" s="10"/>
      <c r="D6" s="10"/>
      <c r="E6" s="10"/>
      <c r="F6" s="11"/>
      <c r="G6" s="12"/>
      <c r="H6" s="12"/>
    </row>
    <row r="7" spans="1:8" x14ac:dyDescent="0.25">
      <c r="C7" s="10"/>
      <c r="D7" s="10"/>
      <c r="E7" s="10"/>
      <c r="F7" s="11"/>
      <c r="G7" s="12"/>
      <c r="H7" s="12"/>
    </row>
    <row r="8" spans="1:8" x14ac:dyDescent="0.25">
      <c r="C8" s="10"/>
      <c r="D8" s="10"/>
      <c r="E8" s="10"/>
      <c r="F8" s="11"/>
      <c r="G8" s="12"/>
      <c r="H8" s="12"/>
    </row>
    <row r="9" spans="1:8" x14ac:dyDescent="0.25">
      <c r="C9" s="10"/>
      <c r="D9" s="10"/>
      <c r="E9" s="10"/>
      <c r="F9" s="11"/>
      <c r="G9" s="12"/>
      <c r="H9" s="12"/>
    </row>
    <row r="10" spans="1:8" x14ac:dyDescent="0.25">
      <c r="C10" s="10"/>
      <c r="D10" s="10"/>
      <c r="E10" s="10"/>
      <c r="F10" s="11"/>
      <c r="G10" s="12"/>
      <c r="H10" s="12"/>
    </row>
    <row r="11" spans="1:8" x14ac:dyDescent="0.25">
      <c r="C11" s="10"/>
      <c r="D11" s="10"/>
      <c r="E11" s="10"/>
      <c r="F11" s="11"/>
      <c r="G11" s="12"/>
      <c r="H11" s="12"/>
    </row>
    <row r="12" spans="1:8" x14ac:dyDescent="0.25">
      <c r="C12" s="10"/>
      <c r="D12" s="10"/>
      <c r="E12" s="10"/>
      <c r="F12" s="11"/>
      <c r="G12" s="12"/>
      <c r="H12" s="12"/>
    </row>
    <row r="13" spans="1:8" x14ac:dyDescent="0.25">
      <c r="C13" s="10"/>
      <c r="D13" s="10"/>
      <c r="E13" s="10"/>
      <c r="F13" s="11"/>
      <c r="G13" s="12"/>
      <c r="H13" s="12"/>
    </row>
    <row r="14" spans="1:8" x14ac:dyDescent="0.25">
      <c r="C14" s="10"/>
      <c r="D14" s="10"/>
      <c r="E14" s="10"/>
      <c r="F14" s="11"/>
      <c r="G14" s="12"/>
      <c r="H14" s="12"/>
    </row>
    <row r="15" spans="1:8" x14ac:dyDescent="0.25">
      <c r="C15" s="10"/>
      <c r="D15" s="10"/>
      <c r="E15" s="10"/>
      <c r="F15" s="11"/>
      <c r="G15" s="12"/>
      <c r="H15" s="12"/>
    </row>
    <row r="16" spans="1:8" x14ac:dyDescent="0.25">
      <c r="C16" s="10"/>
      <c r="D16" s="10"/>
      <c r="E16" s="10"/>
      <c r="F16" s="11"/>
      <c r="G16" s="12"/>
      <c r="H16" s="12"/>
    </row>
    <row r="17" spans="3:8" x14ac:dyDescent="0.25">
      <c r="C17" s="10"/>
      <c r="D17" s="10"/>
      <c r="E17" s="10"/>
      <c r="F17" s="11"/>
      <c r="G17" s="12"/>
      <c r="H17" s="12"/>
    </row>
    <row r="18" spans="3:8" x14ac:dyDescent="0.25">
      <c r="C18" s="10"/>
      <c r="D18" s="10"/>
      <c r="E18" s="10"/>
      <c r="F18" s="11"/>
      <c r="G18" s="12"/>
      <c r="H18" s="12"/>
    </row>
    <row r="19" spans="3:8" x14ac:dyDescent="0.25">
      <c r="C19" s="10"/>
      <c r="D19" s="10"/>
      <c r="E19" s="10"/>
      <c r="F19" s="11"/>
      <c r="G19" s="12"/>
      <c r="H19" s="12"/>
    </row>
    <row r="20" spans="3:8" x14ac:dyDescent="0.25">
      <c r="C20" s="10"/>
      <c r="D20" s="10"/>
      <c r="E20" s="10"/>
      <c r="F20" s="11"/>
      <c r="G20" s="12"/>
      <c r="H20" s="12"/>
    </row>
    <row r="21" spans="3:8" x14ac:dyDescent="0.25">
      <c r="C21" s="10"/>
      <c r="D21" s="10"/>
      <c r="E21" s="10"/>
      <c r="F21" s="11"/>
      <c r="G21" s="12"/>
      <c r="H21" s="12"/>
    </row>
    <row r="22" spans="3:8" x14ac:dyDescent="0.25">
      <c r="C22" s="10"/>
      <c r="D22" s="10"/>
      <c r="E22" s="10"/>
      <c r="F22" s="11"/>
      <c r="G22" s="12"/>
      <c r="H22" s="12"/>
    </row>
    <row r="23" spans="3:8" x14ac:dyDescent="0.25">
      <c r="C23" s="10"/>
      <c r="D23" s="10"/>
      <c r="E23" s="10"/>
      <c r="F23" s="11"/>
      <c r="G23" s="12"/>
      <c r="H23" s="12"/>
    </row>
    <row r="24" spans="3:8" x14ac:dyDescent="0.25">
      <c r="C24" s="10"/>
      <c r="D24" s="10"/>
      <c r="E24" s="10"/>
      <c r="F24" s="11"/>
      <c r="G24" s="12"/>
      <c r="H24" s="12"/>
    </row>
    <row r="25" spans="3:8" x14ac:dyDescent="0.25">
      <c r="C25" s="10"/>
      <c r="D25" s="10"/>
      <c r="E25" s="10"/>
      <c r="F25" s="11"/>
      <c r="G25" s="12"/>
      <c r="H25" s="12"/>
    </row>
    <row r="26" spans="3:8" x14ac:dyDescent="0.25">
      <c r="C26" s="10"/>
      <c r="D26" s="10"/>
      <c r="E26" s="10"/>
      <c r="F26" s="11"/>
      <c r="G26" s="12"/>
      <c r="H26" s="12"/>
    </row>
    <row r="27" spans="3:8" x14ac:dyDescent="0.25">
      <c r="C27" s="10"/>
      <c r="D27" s="10"/>
      <c r="E27" s="10"/>
      <c r="F27" s="11"/>
      <c r="G27" s="12"/>
      <c r="H27" s="12"/>
    </row>
    <row r="28" spans="3:8" x14ac:dyDescent="0.25">
      <c r="C28" s="10"/>
      <c r="D28" s="10"/>
      <c r="E28" s="10"/>
      <c r="F28" s="11"/>
      <c r="G28" s="12"/>
      <c r="H28" s="12"/>
    </row>
    <row r="29" spans="3:8" x14ac:dyDescent="0.25">
      <c r="C29" s="10"/>
      <c r="D29" s="10"/>
      <c r="E29" s="10"/>
      <c r="F29" s="11"/>
      <c r="G29" s="12"/>
      <c r="H29" s="12"/>
    </row>
    <row r="30" spans="3:8" x14ac:dyDescent="0.25">
      <c r="C30" s="10"/>
      <c r="D30" s="10"/>
      <c r="E30" s="10"/>
      <c r="F30" s="11"/>
      <c r="G30" s="12"/>
      <c r="H30" s="12"/>
    </row>
    <row r="31" spans="3:8" x14ac:dyDescent="0.25">
      <c r="C31" s="10"/>
      <c r="D31" s="10"/>
      <c r="E31" s="10"/>
      <c r="F31" s="11"/>
      <c r="G31" s="12"/>
      <c r="H31" s="12"/>
    </row>
    <row r="32" spans="3:8" x14ac:dyDescent="0.25">
      <c r="C32" s="10"/>
      <c r="D32" s="10"/>
      <c r="E32" s="10"/>
      <c r="F32" s="11"/>
      <c r="G32" s="12"/>
      <c r="H32" s="12"/>
    </row>
    <row r="33" spans="3:8" x14ac:dyDescent="0.25">
      <c r="C33" s="10"/>
      <c r="D33" s="10"/>
      <c r="E33" s="10"/>
      <c r="F33" s="11"/>
      <c r="G33" s="12"/>
      <c r="H33" s="12"/>
    </row>
    <row r="34" spans="3:8" x14ac:dyDescent="0.25">
      <c r="C34" s="10"/>
      <c r="D34" s="10"/>
      <c r="E34" s="10"/>
      <c r="F34" s="11"/>
      <c r="G34" s="12"/>
      <c r="H34" s="12"/>
    </row>
    <row r="35" spans="3:8" x14ac:dyDescent="0.25">
      <c r="C35" s="10"/>
      <c r="D35" s="10"/>
      <c r="E35" s="10"/>
      <c r="F35" s="11"/>
      <c r="G35" s="12"/>
      <c r="H35" s="12"/>
    </row>
    <row r="36" spans="3:8" x14ac:dyDescent="0.25">
      <c r="C36" s="10"/>
      <c r="D36" s="10"/>
      <c r="E36" s="10"/>
      <c r="F36" s="11"/>
      <c r="G36" s="12"/>
      <c r="H36" s="12"/>
    </row>
    <row r="37" spans="3:8" x14ac:dyDescent="0.25">
      <c r="C37" s="10"/>
      <c r="D37" s="10"/>
      <c r="E37" s="10"/>
      <c r="F37" s="11"/>
      <c r="G37" s="12"/>
      <c r="H37" s="12"/>
    </row>
    <row r="38" spans="3:8" x14ac:dyDescent="0.25">
      <c r="C38" s="10"/>
      <c r="D38" s="10"/>
      <c r="E38" s="10"/>
      <c r="F38" s="11"/>
      <c r="G38" s="12"/>
      <c r="H38" s="12"/>
    </row>
    <row r="39" spans="3:8" x14ac:dyDescent="0.25">
      <c r="C39" s="10"/>
      <c r="D39" s="10"/>
      <c r="E39" s="10"/>
      <c r="F39" s="11"/>
      <c r="G39" s="12"/>
      <c r="H39" s="12"/>
    </row>
    <row r="40" spans="3:8" x14ac:dyDescent="0.25">
      <c r="C40" s="10"/>
      <c r="D40" s="10"/>
      <c r="E40" s="10"/>
      <c r="F40" s="11"/>
      <c r="G40" s="12"/>
      <c r="H40" s="12"/>
    </row>
    <row r="41" spans="3:8" x14ac:dyDescent="0.25">
      <c r="C41" s="10"/>
      <c r="D41" s="10"/>
      <c r="E41" s="10"/>
      <c r="F41" s="11"/>
      <c r="G41" s="12"/>
      <c r="H41" s="12"/>
    </row>
    <row r="42" spans="3:8" x14ac:dyDescent="0.25">
      <c r="C42" s="10"/>
      <c r="D42" s="10"/>
      <c r="E42" s="10"/>
      <c r="F42" s="11"/>
      <c r="G42" s="12"/>
      <c r="H42" s="12"/>
    </row>
    <row r="43" spans="3:8" x14ac:dyDescent="0.25">
      <c r="C43" s="10"/>
      <c r="D43" s="10"/>
      <c r="E43" s="10"/>
      <c r="F43" s="11"/>
      <c r="G43" s="12"/>
      <c r="H43" s="12"/>
    </row>
    <row r="44" spans="3:8" x14ac:dyDescent="0.25">
      <c r="C44" s="10"/>
      <c r="D44" s="10"/>
      <c r="E44" s="10"/>
      <c r="F44" s="11"/>
      <c r="G44" s="12"/>
      <c r="H44" s="12"/>
    </row>
    <row r="45" spans="3:8" x14ac:dyDescent="0.25">
      <c r="C45" s="10"/>
      <c r="D45" s="10"/>
      <c r="E45" s="10"/>
      <c r="F45" s="11"/>
      <c r="G45" s="12"/>
      <c r="H45" s="12"/>
    </row>
    <row r="46" spans="3:8" x14ac:dyDescent="0.25">
      <c r="C46" s="10"/>
      <c r="D46" s="10"/>
      <c r="E46" s="10"/>
      <c r="F46" s="11"/>
      <c r="G46" s="12"/>
      <c r="H46" s="12"/>
    </row>
    <row r="47" spans="3:8" x14ac:dyDescent="0.25">
      <c r="C47" s="10"/>
      <c r="D47" s="10"/>
      <c r="E47" s="10"/>
      <c r="F47" s="11"/>
      <c r="G47" s="12"/>
      <c r="H47" s="12"/>
    </row>
    <row r="48" spans="3:8" x14ac:dyDescent="0.25">
      <c r="C48" s="10"/>
      <c r="D48" s="10"/>
      <c r="E48" s="10"/>
      <c r="F48" s="11"/>
      <c r="G48" s="12"/>
      <c r="H48" s="12"/>
    </row>
    <row r="49" spans="3:8" x14ac:dyDescent="0.25">
      <c r="C49" s="10"/>
      <c r="D49" s="10"/>
      <c r="E49" s="10"/>
      <c r="F49" s="11"/>
      <c r="G49" s="12"/>
      <c r="H49" s="12"/>
    </row>
    <row r="50" spans="3:8" x14ac:dyDescent="0.25">
      <c r="C50" s="10"/>
      <c r="D50" s="10"/>
      <c r="E50" s="10"/>
      <c r="F50" s="11"/>
      <c r="G50" s="12"/>
      <c r="H50" s="12"/>
    </row>
    <row r="51" spans="3:8" x14ac:dyDescent="0.25">
      <c r="C51" s="10"/>
      <c r="D51" s="10"/>
      <c r="E51" s="10"/>
      <c r="F51" s="11"/>
      <c r="G51" s="12"/>
      <c r="H51" s="12"/>
    </row>
    <row r="52" spans="3:8" x14ac:dyDescent="0.25">
      <c r="C52" s="10"/>
      <c r="D52" s="10"/>
      <c r="E52" s="10"/>
      <c r="F52" s="11"/>
      <c r="G52" s="12"/>
      <c r="H52" s="12"/>
    </row>
    <row r="53" spans="3:8" x14ac:dyDescent="0.25">
      <c r="C53" s="10"/>
      <c r="D53" s="10"/>
      <c r="E53" s="10"/>
      <c r="F53" s="11"/>
      <c r="G53" s="12"/>
      <c r="H53" s="12"/>
    </row>
    <row r="54" spans="3:8" x14ac:dyDescent="0.25">
      <c r="C54" s="10"/>
      <c r="D54" s="10"/>
      <c r="E54" s="10"/>
      <c r="F54" s="11"/>
      <c r="G54" s="12"/>
      <c r="H54" s="12"/>
    </row>
    <row r="55" spans="3:8" x14ac:dyDescent="0.25">
      <c r="C55" s="10"/>
      <c r="D55" s="10"/>
      <c r="E55" s="10"/>
      <c r="F55" s="11"/>
      <c r="G55" s="12"/>
      <c r="H55" s="12"/>
    </row>
    <row r="56" spans="3:8" x14ac:dyDescent="0.25">
      <c r="C56" s="10"/>
      <c r="D56" s="10"/>
      <c r="E56" s="10"/>
      <c r="F56" s="11"/>
      <c r="G56" s="12"/>
      <c r="H56" s="12"/>
    </row>
    <row r="57" spans="3:8" x14ac:dyDescent="0.25">
      <c r="C57" s="10"/>
      <c r="D57" s="10"/>
      <c r="E57" s="10"/>
      <c r="F57" s="11"/>
      <c r="G57" s="12"/>
      <c r="H57" s="12"/>
    </row>
    <row r="58" spans="3:8" x14ac:dyDescent="0.25">
      <c r="C58" s="10"/>
      <c r="D58" s="10"/>
      <c r="E58" s="10"/>
      <c r="F58" s="11"/>
      <c r="G58" s="12"/>
      <c r="H58" s="12"/>
    </row>
    <row r="59" spans="3:8" x14ac:dyDescent="0.25">
      <c r="C59" s="10"/>
      <c r="D59" s="10"/>
      <c r="E59" s="10"/>
      <c r="F59" s="11"/>
      <c r="G59" s="12"/>
      <c r="H59" s="12"/>
    </row>
    <row r="60" spans="3:8" x14ac:dyDescent="0.25">
      <c r="C60" s="10"/>
      <c r="D60" s="10"/>
      <c r="E60" s="10"/>
      <c r="F60" s="11"/>
      <c r="G60" s="12"/>
      <c r="H60" s="12"/>
    </row>
    <row r="61" spans="3:8" x14ac:dyDescent="0.25">
      <c r="C61" s="10"/>
      <c r="D61" s="10"/>
      <c r="E61" s="10"/>
      <c r="F61" s="11"/>
      <c r="G61" s="12"/>
      <c r="H61" s="12"/>
    </row>
    <row r="62" spans="3:8" x14ac:dyDescent="0.25">
      <c r="C62" s="10"/>
      <c r="D62" s="10"/>
      <c r="E62" s="10"/>
      <c r="F62" s="11"/>
      <c r="G62" s="12"/>
      <c r="H62" s="12"/>
    </row>
    <row r="63" spans="3:8" x14ac:dyDescent="0.25">
      <c r="C63" s="10"/>
      <c r="D63" s="10"/>
      <c r="E63" s="10"/>
      <c r="F63" s="11"/>
      <c r="G63" s="12"/>
      <c r="H63" s="12"/>
    </row>
    <row r="64" spans="3:8" x14ac:dyDescent="0.25">
      <c r="C64" s="10"/>
      <c r="D64" s="10"/>
      <c r="E64" s="10"/>
      <c r="F64" s="11"/>
      <c r="G64" s="12"/>
      <c r="H64" s="12"/>
    </row>
    <row r="65" spans="3:8" x14ac:dyDescent="0.25">
      <c r="C65" s="10"/>
      <c r="D65" s="10"/>
      <c r="E65" s="10"/>
      <c r="F65" s="11"/>
      <c r="G65" s="12"/>
      <c r="H65" s="12"/>
    </row>
    <row r="66" spans="3:8" x14ac:dyDescent="0.25">
      <c r="C66" s="10"/>
      <c r="D66" s="10"/>
      <c r="E66" s="10"/>
      <c r="F66" s="11"/>
      <c r="G66" s="12"/>
      <c r="H66" s="12"/>
    </row>
    <row r="67" spans="3:8" x14ac:dyDescent="0.25">
      <c r="C67" s="10"/>
      <c r="D67" s="10"/>
      <c r="E67" s="10"/>
      <c r="F67" s="11"/>
      <c r="G67" s="12"/>
      <c r="H67" s="12"/>
    </row>
    <row r="68" spans="3:8" x14ac:dyDescent="0.25">
      <c r="C68" s="10"/>
      <c r="D68" s="10"/>
      <c r="E68" s="10"/>
      <c r="F68" s="11"/>
      <c r="G68" s="12"/>
      <c r="H68" s="12"/>
    </row>
    <row r="69" spans="3:8" x14ac:dyDescent="0.25">
      <c r="C69" s="10"/>
      <c r="D69" s="10"/>
      <c r="E69" s="10"/>
      <c r="F69" s="11"/>
      <c r="G69" s="12"/>
      <c r="H69" s="12"/>
    </row>
    <row r="70" spans="3:8" x14ac:dyDescent="0.25">
      <c r="C70" s="10"/>
      <c r="D70" s="10"/>
      <c r="E70" s="10"/>
      <c r="F70" s="11"/>
      <c r="G70" s="12"/>
      <c r="H70" s="12"/>
    </row>
    <row r="71" spans="3:8" x14ac:dyDescent="0.25">
      <c r="C71" s="10"/>
      <c r="D71" s="10"/>
      <c r="E71" s="10"/>
      <c r="F71" s="11"/>
      <c r="G71" s="12"/>
      <c r="H71" s="12"/>
    </row>
    <row r="72" spans="3:8" x14ac:dyDescent="0.25">
      <c r="C72" s="10"/>
      <c r="D72" s="10"/>
      <c r="E72" s="10"/>
      <c r="F72" s="11"/>
      <c r="G72" s="12"/>
      <c r="H72" s="12"/>
    </row>
    <row r="73" spans="3:8" x14ac:dyDescent="0.25">
      <c r="C73" s="10"/>
      <c r="D73" s="10"/>
      <c r="E73" s="10"/>
      <c r="F73" s="11"/>
      <c r="G73" s="12"/>
      <c r="H73" s="12"/>
    </row>
    <row r="74" spans="3:8" x14ac:dyDescent="0.25">
      <c r="C74" s="10"/>
      <c r="D74" s="10"/>
      <c r="E74" s="10"/>
      <c r="F74" s="11"/>
      <c r="G74" s="12"/>
      <c r="H74" s="12"/>
    </row>
    <row r="75" spans="3:8" x14ac:dyDescent="0.25">
      <c r="C75" s="10"/>
      <c r="D75" s="10"/>
      <c r="E75" s="10"/>
      <c r="F75" s="11"/>
      <c r="G75" s="12"/>
      <c r="H75" s="12"/>
    </row>
    <row r="76" spans="3:8" x14ac:dyDescent="0.25">
      <c r="C76" s="10"/>
      <c r="D76" s="10"/>
      <c r="E76" s="10"/>
      <c r="F76" s="11"/>
      <c r="G76" s="12"/>
      <c r="H76" s="12"/>
    </row>
    <row r="77" spans="3:8" x14ac:dyDescent="0.25">
      <c r="C77" s="10"/>
      <c r="D77" s="10"/>
      <c r="E77" s="10"/>
      <c r="F77" s="11"/>
      <c r="G77" s="12"/>
      <c r="H77" s="12"/>
    </row>
    <row r="78" spans="3:8" x14ac:dyDescent="0.25">
      <c r="C78" s="10"/>
      <c r="D78" s="10"/>
      <c r="E78" s="10"/>
      <c r="F78" s="11"/>
      <c r="G78" s="12"/>
      <c r="H78" s="12"/>
    </row>
    <row r="79" spans="3:8" x14ac:dyDescent="0.25">
      <c r="C79" s="10"/>
      <c r="D79" s="10"/>
      <c r="E79" s="10"/>
      <c r="F79" s="11"/>
      <c r="G79" s="12"/>
      <c r="H79" s="12"/>
    </row>
    <row r="80" spans="3:8" x14ac:dyDescent="0.25">
      <c r="C80" s="10"/>
      <c r="D80" s="10"/>
      <c r="E80" s="10"/>
      <c r="F80" s="11"/>
      <c r="G80" s="12"/>
      <c r="H80" s="12"/>
    </row>
    <row r="81" spans="3:8" x14ac:dyDescent="0.25">
      <c r="C81" s="10"/>
      <c r="D81" s="10"/>
      <c r="E81" s="10"/>
      <c r="F81" s="11"/>
      <c r="G81" s="12"/>
      <c r="H81" s="12"/>
    </row>
    <row r="82" spans="3:8" x14ac:dyDescent="0.25">
      <c r="C82" s="10"/>
      <c r="D82" s="10"/>
      <c r="E82" s="10"/>
      <c r="F82" s="11"/>
      <c r="G82" s="12"/>
      <c r="H82" s="12"/>
    </row>
    <row r="83" spans="3:8" x14ac:dyDescent="0.25">
      <c r="C83" s="10"/>
      <c r="D83" s="10"/>
      <c r="E83" s="10"/>
      <c r="F83" s="11"/>
      <c r="G83" s="12"/>
      <c r="H83" s="12"/>
    </row>
    <row r="84" spans="3:8" x14ac:dyDescent="0.25">
      <c r="C84" s="10"/>
      <c r="D84" s="10"/>
      <c r="E84" s="10"/>
      <c r="F84" s="11"/>
      <c r="G84" s="12"/>
      <c r="H84" s="12"/>
    </row>
    <row r="85" spans="3:8" x14ac:dyDescent="0.25">
      <c r="C85" s="10"/>
      <c r="D85" s="10"/>
      <c r="E85" s="10"/>
      <c r="F85" s="11"/>
      <c r="G85" s="12"/>
      <c r="H85" s="12"/>
    </row>
    <row r="86" spans="3:8" x14ac:dyDescent="0.25">
      <c r="C86" s="10"/>
      <c r="D86" s="10"/>
      <c r="E86" s="10"/>
      <c r="F86" s="11"/>
      <c r="G86" s="12"/>
      <c r="H86" s="12"/>
    </row>
    <row r="87" spans="3:8" x14ac:dyDescent="0.25">
      <c r="C87" s="10"/>
      <c r="D87" s="10"/>
      <c r="E87" s="10"/>
      <c r="F87" s="11"/>
      <c r="G87" s="12"/>
      <c r="H87" s="12"/>
    </row>
    <row r="88" spans="3:8" x14ac:dyDescent="0.25">
      <c r="C88" s="10"/>
      <c r="D88" s="10"/>
      <c r="E88" s="10"/>
      <c r="F88" s="11"/>
      <c r="G88" s="12"/>
      <c r="H88" s="12"/>
    </row>
    <row r="89" spans="3:8" x14ac:dyDescent="0.25">
      <c r="C89" s="10"/>
      <c r="D89" s="10"/>
      <c r="E89" s="10"/>
      <c r="F89" s="11"/>
      <c r="G89" s="12"/>
      <c r="H89" s="12"/>
    </row>
    <row r="90" spans="3:8" x14ac:dyDescent="0.25">
      <c r="C90" s="10"/>
      <c r="D90" s="10"/>
      <c r="E90" s="10"/>
      <c r="F90" s="11"/>
      <c r="G90" s="12"/>
      <c r="H90" s="12"/>
    </row>
    <row r="91" spans="3:8" x14ac:dyDescent="0.25">
      <c r="C91" s="10"/>
      <c r="D91" s="10"/>
      <c r="E91" s="10"/>
      <c r="F91" s="11"/>
      <c r="G91" s="12"/>
      <c r="H91" s="12"/>
    </row>
    <row r="92" spans="3:8" x14ac:dyDescent="0.25">
      <c r="C92" s="10"/>
      <c r="D92" s="10"/>
      <c r="E92" s="10"/>
      <c r="F92" s="11"/>
      <c r="G92" s="12"/>
      <c r="H92" s="12"/>
    </row>
    <row r="93" spans="3:8" x14ac:dyDescent="0.25">
      <c r="C93" s="10"/>
      <c r="D93" s="10"/>
      <c r="E93" s="10"/>
      <c r="F93" s="11"/>
      <c r="G93" s="12"/>
      <c r="H93" s="12"/>
    </row>
    <row r="94" spans="3:8" x14ac:dyDescent="0.25">
      <c r="C94" s="10"/>
      <c r="D94" s="10"/>
      <c r="E94" s="10"/>
      <c r="F94" s="11"/>
      <c r="G94" s="12"/>
      <c r="H94" s="12"/>
    </row>
    <row r="95" spans="3:8" x14ac:dyDescent="0.25">
      <c r="C95" s="10"/>
      <c r="D95" s="10"/>
      <c r="E95" s="10"/>
      <c r="F95" s="11"/>
      <c r="G95" s="12"/>
      <c r="H95" s="12"/>
    </row>
    <row r="96" spans="3:8" x14ac:dyDescent="0.25">
      <c r="C96" s="10"/>
      <c r="D96" s="10"/>
      <c r="E96" s="10"/>
      <c r="F96" s="11"/>
      <c r="G96" s="12"/>
      <c r="H96" s="12"/>
    </row>
    <row r="97" spans="3:8" x14ac:dyDescent="0.25">
      <c r="C97" s="10"/>
      <c r="D97" s="10"/>
      <c r="E97" s="10"/>
      <c r="F97" s="11"/>
      <c r="G97" s="12"/>
      <c r="H97" s="12"/>
    </row>
    <row r="98" spans="3:8" x14ac:dyDescent="0.25">
      <c r="C98" s="10"/>
      <c r="D98" s="10"/>
      <c r="E98" s="10"/>
      <c r="F98" s="11"/>
      <c r="G98" s="12"/>
      <c r="H98" s="12"/>
    </row>
    <row r="99" spans="3:8" x14ac:dyDescent="0.25">
      <c r="C99" s="10"/>
      <c r="D99" s="10"/>
      <c r="E99" s="10"/>
      <c r="F99" s="11"/>
      <c r="G99" s="12"/>
      <c r="H99" s="12"/>
    </row>
    <row r="100" spans="3:8" x14ac:dyDescent="0.25">
      <c r="C100" s="10"/>
      <c r="D100" s="10"/>
      <c r="E100" s="10"/>
      <c r="F100" s="11"/>
      <c r="G100" s="12"/>
      <c r="H100" s="12"/>
    </row>
  </sheetData>
  <mergeCells count="2">
    <mergeCell ref="A1:H1"/>
    <mergeCell ref="A2:H2"/>
  </mergeCells>
  <conditionalFormatting sqref="G5:H100">
    <cfRule type="cellIs" dxfId="9" priority="1" operator="lessThan">
      <formula>0</formula>
    </cfRule>
  </conditionalFormatting>
  <conditionalFormatting sqref="G5:H100">
    <cfRule type="cellIs" dxfId="8" priority="2" operator="greaterThan">
      <formula>0</formula>
    </cfRule>
  </conditionalFormatting>
  <pageMargins left="0.7" right="0.7" top="0.75" bottom="0.75" header="0.3" footer="0.3"/>
  <headerFooter>
    <oddHeader>&amp;L&amp;"Arial"&amp;9&amp;KA80000 CONFIDENTIAL&amp;1#_x000D_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34305-4E9C-48BF-AFB9-E6C0DD688E76}">
  <dimension ref="A1:H100"/>
  <sheetViews>
    <sheetView workbookViewId="0">
      <selection activeCell="A2" sqref="A2:H2"/>
    </sheetView>
  </sheetViews>
  <sheetFormatPr defaultRowHeight="12.5" x14ac:dyDescent="0.25"/>
  <cols>
    <col min="1" max="1" width="16.36328125" customWidth="1"/>
    <col min="2" max="2" width="21.81640625" customWidth="1"/>
    <col min="3" max="5" width="17.26953125" customWidth="1"/>
    <col min="6" max="6" width="13.6328125" customWidth="1"/>
    <col min="7" max="8" width="18.1796875" customWidth="1"/>
  </cols>
  <sheetData>
    <row r="1" spans="1:8" ht="23" x14ac:dyDescent="0.5">
      <c r="A1" s="2" t="s">
        <v>22</v>
      </c>
      <c r="B1" s="2"/>
      <c r="C1" s="2"/>
      <c r="D1" s="2"/>
      <c r="E1" s="2"/>
      <c r="F1" s="2"/>
      <c r="G1" s="2"/>
      <c r="H1" s="2"/>
    </row>
    <row r="2" spans="1:8" ht="13" x14ac:dyDescent="0.3">
      <c r="A2" s="9" t="s">
        <v>21</v>
      </c>
      <c r="B2" s="9"/>
      <c r="C2" s="9"/>
      <c r="D2" s="9"/>
      <c r="E2" s="9"/>
      <c r="F2" s="9"/>
      <c r="G2" s="9"/>
      <c r="H2" s="9"/>
    </row>
    <row r="4" spans="1:8" x14ac:dyDescent="0.25">
      <c r="A4" t="s">
        <v>0</v>
      </c>
      <c r="B4" t="s">
        <v>2</v>
      </c>
      <c r="C4" t="s">
        <v>23</v>
      </c>
      <c r="D4" t="s">
        <v>24</v>
      </c>
      <c r="E4" t="s">
        <v>1</v>
      </c>
      <c r="F4" t="s">
        <v>3</v>
      </c>
      <c r="G4" t="s">
        <v>25</v>
      </c>
      <c r="H4" t="s">
        <v>26</v>
      </c>
    </row>
    <row r="5" spans="1:8" x14ac:dyDescent="0.25">
      <c r="C5" s="10"/>
      <c r="D5" s="10"/>
      <c r="E5" s="10"/>
      <c r="F5" s="11"/>
      <c r="G5" s="12" t="str">
        <f>IF(OR(PaviPortfolio[[#This Row],[Previous Close]]="",PaviPortfolio[[#This Row],[CMP]]="",PaviPortfolio[[#This Row],[Quantity]]=""),"",(PaviPortfolio[[#This Row],[CMP]]-PaviPortfolio[[#This Row],[Previous Close]])*PaviPortfolio[[#This Row],[Quantity]])</f>
        <v/>
      </c>
      <c r="H5" s="12" t="str">
        <f>IF(OR(PaviPortfolio[[#This Row],[Buy Price]]="",PaviPortfolio[[#This Row],[CMP]]="",PaviPortfolio[[#This Row],[Quantity]]=""),"",(PaviPortfolio[[#This Row],[CMP]]-PaviPortfolio[[#This Row],[Buy Price]])*PaviPortfolio[[#This Row],[Quantity]])</f>
        <v/>
      </c>
    </row>
    <row r="6" spans="1:8" x14ac:dyDescent="0.25">
      <c r="C6" s="10"/>
      <c r="D6" s="10"/>
      <c r="E6" s="10"/>
      <c r="F6" s="11"/>
      <c r="G6" s="12"/>
      <c r="H6" s="12"/>
    </row>
    <row r="7" spans="1:8" x14ac:dyDescent="0.25">
      <c r="C7" s="10"/>
      <c r="D7" s="10"/>
      <c r="E7" s="10"/>
      <c r="F7" s="11"/>
      <c r="G7" s="12"/>
      <c r="H7" s="12"/>
    </row>
    <row r="8" spans="1:8" x14ac:dyDescent="0.25">
      <c r="C8" s="10"/>
      <c r="D8" s="10"/>
      <c r="E8" s="10"/>
      <c r="F8" s="11"/>
      <c r="G8" s="12"/>
      <c r="H8" s="12"/>
    </row>
    <row r="9" spans="1:8" x14ac:dyDescent="0.25">
      <c r="C9" s="10"/>
      <c r="D9" s="10"/>
      <c r="E9" s="10"/>
      <c r="F9" s="11"/>
      <c r="G9" s="12"/>
      <c r="H9" s="12"/>
    </row>
    <row r="10" spans="1:8" x14ac:dyDescent="0.25">
      <c r="C10" s="10"/>
      <c r="D10" s="10"/>
      <c r="E10" s="10"/>
      <c r="F10" s="11"/>
      <c r="G10" s="12"/>
      <c r="H10" s="12"/>
    </row>
    <row r="11" spans="1:8" x14ac:dyDescent="0.25">
      <c r="C11" s="10"/>
      <c r="D11" s="10"/>
      <c r="E11" s="10"/>
      <c r="F11" s="11"/>
      <c r="G11" s="12"/>
      <c r="H11" s="12"/>
    </row>
    <row r="12" spans="1:8" x14ac:dyDescent="0.25">
      <c r="C12" s="10"/>
      <c r="D12" s="10"/>
      <c r="E12" s="10"/>
      <c r="F12" s="11"/>
      <c r="G12" s="12"/>
      <c r="H12" s="12"/>
    </row>
    <row r="13" spans="1:8" x14ac:dyDescent="0.25">
      <c r="C13" s="10"/>
      <c r="D13" s="10"/>
      <c r="E13" s="10"/>
      <c r="F13" s="11"/>
      <c r="G13" s="12"/>
      <c r="H13" s="12"/>
    </row>
    <row r="14" spans="1:8" x14ac:dyDescent="0.25">
      <c r="C14" s="10"/>
      <c r="D14" s="10"/>
      <c r="E14" s="10"/>
      <c r="F14" s="11"/>
      <c r="G14" s="12"/>
      <c r="H14" s="12"/>
    </row>
    <row r="15" spans="1:8" x14ac:dyDescent="0.25">
      <c r="C15" s="10"/>
      <c r="D15" s="10"/>
      <c r="E15" s="10"/>
      <c r="F15" s="11"/>
      <c r="G15" s="12"/>
      <c r="H15" s="12"/>
    </row>
    <row r="16" spans="1:8" x14ac:dyDescent="0.25">
      <c r="C16" s="10"/>
      <c r="D16" s="10"/>
      <c r="E16" s="10"/>
      <c r="F16" s="11"/>
      <c r="G16" s="12"/>
      <c r="H16" s="12"/>
    </row>
    <row r="17" spans="3:8" x14ac:dyDescent="0.25">
      <c r="C17" s="10"/>
      <c r="D17" s="10"/>
      <c r="E17" s="10"/>
      <c r="F17" s="11"/>
      <c r="G17" s="12"/>
      <c r="H17" s="12"/>
    </row>
    <row r="18" spans="3:8" x14ac:dyDescent="0.25">
      <c r="C18" s="10"/>
      <c r="D18" s="10"/>
      <c r="E18" s="10"/>
      <c r="F18" s="11"/>
      <c r="G18" s="12"/>
      <c r="H18" s="12"/>
    </row>
    <row r="19" spans="3:8" x14ac:dyDescent="0.25">
      <c r="C19" s="10"/>
      <c r="D19" s="10"/>
      <c r="E19" s="10"/>
      <c r="F19" s="11"/>
      <c r="G19" s="12"/>
      <c r="H19" s="12"/>
    </row>
    <row r="20" spans="3:8" x14ac:dyDescent="0.25">
      <c r="C20" s="10"/>
      <c r="D20" s="10"/>
      <c r="E20" s="10"/>
      <c r="F20" s="11"/>
      <c r="G20" s="12"/>
      <c r="H20" s="12"/>
    </row>
    <row r="21" spans="3:8" x14ac:dyDescent="0.25">
      <c r="C21" s="10"/>
      <c r="D21" s="10"/>
      <c r="E21" s="10"/>
      <c r="F21" s="11"/>
      <c r="G21" s="12"/>
      <c r="H21" s="12"/>
    </row>
    <row r="22" spans="3:8" x14ac:dyDescent="0.25">
      <c r="C22" s="10"/>
      <c r="D22" s="10"/>
      <c r="E22" s="10"/>
      <c r="F22" s="11"/>
      <c r="G22" s="12"/>
      <c r="H22" s="12"/>
    </row>
    <row r="23" spans="3:8" x14ac:dyDescent="0.25">
      <c r="C23" s="10"/>
      <c r="D23" s="10"/>
      <c r="E23" s="10"/>
      <c r="F23" s="11"/>
      <c r="G23" s="12"/>
      <c r="H23" s="12"/>
    </row>
    <row r="24" spans="3:8" x14ac:dyDescent="0.25">
      <c r="C24" s="10"/>
      <c r="D24" s="10"/>
      <c r="E24" s="10"/>
      <c r="F24" s="11"/>
      <c r="G24" s="12"/>
      <c r="H24" s="12"/>
    </row>
    <row r="25" spans="3:8" x14ac:dyDescent="0.25">
      <c r="C25" s="10"/>
      <c r="D25" s="10"/>
      <c r="E25" s="10"/>
      <c r="F25" s="11"/>
      <c r="G25" s="12"/>
      <c r="H25" s="12"/>
    </row>
    <row r="26" spans="3:8" x14ac:dyDescent="0.25">
      <c r="C26" s="10"/>
      <c r="D26" s="10"/>
      <c r="E26" s="10"/>
      <c r="F26" s="11"/>
      <c r="G26" s="12"/>
      <c r="H26" s="12"/>
    </row>
    <row r="27" spans="3:8" x14ac:dyDescent="0.25">
      <c r="C27" s="10"/>
      <c r="D27" s="10"/>
      <c r="E27" s="10"/>
      <c r="F27" s="11"/>
      <c r="G27" s="12"/>
      <c r="H27" s="12"/>
    </row>
    <row r="28" spans="3:8" x14ac:dyDescent="0.25">
      <c r="C28" s="10"/>
      <c r="D28" s="10"/>
      <c r="E28" s="10"/>
      <c r="F28" s="11"/>
      <c r="G28" s="12"/>
      <c r="H28" s="12"/>
    </row>
    <row r="29" spans="3:8" x14ac:dyDescent="0.25">
      <c r="C29" s="10"/>
      <c r="D29" s="10"/>
      <c r="E29" s="10"/>
      <c r="F29" s="11"/>
      <c r="G29" s="12"/>
      <c r="H29" s="12"/>
    </row>
    <row r="30" spans="3:8" x14ac:dyDescent="0.25">
      <c r="C30" s="10"/>
      <c r="D30" s="10"/>
      <c r="E30" s="10"/>
      <c r="F30" s="11"/>
      <c r="G30" s="12"/>
      <c r="H30" s="12"/>
    </row>
    <row r="31" spans="3:8" x14ac:dyDescent="0.25">
      <c r="C31" s="10"/>
      <c r="D31" s="10"/>
      <c r="E31" s="10"/>
      <c r="F31" s="11"/>
      <c r="G31" s="12"/>
      <c r="H31" s="12"/>
    </row>
    <row r="32" spans="3:8" x14ac:dyDescent="0.25">
      <c r="C32" s="10"/>
      <c r="D32" s="10"/>
      <c r="E32" s="10"/>
      <c r="F32" s="11"/>
      <c r="G32" s="12"/>
      <c r="H32" s="12"/>
    </row>
    <row r="33" spans="3:8" x14ac:dyDescent="0.25">
      <c r="C33" s="10"/>
      <c r="D33" s="10"/>
      <c r="E33" s="10"/>
      <c r="F33" s="11"/>
      <c r="G33" s="12"/>
      <c r="H33" s="12"/>
    </row>
    <row r="34" spans="3:8" x14ac:dyDescent="0.25">
      <c r="C34" s="10"/>
      <c r="D34" s="10"/>
      <c r="E34" s="10"/>
      <c r="F34" s="11"/>
      <c r="G34" s="12"/>
      <c r="H34" s="12"/>
    </row>
    <row r="35" spans="3:8" x14ac:dyDescent="0.25">
      <c r="C35" s="10"/>
      <c r="D35" s="10"/>
      <c r="E35" s="10"/>
      <c r="F35" s="11"/>
      <c r="G35" s="12"/>
      <c r="H35" s="12"/>
    </row>
    <row r="36" spans="3:8" x14ac:dyDescent="0.25">
      <c r="C36" s="10"/>
      <c r="D36" s="10"/>
      <c r="E36" s="10"/>
      <c r="F36" s="11"/>
      <c r="G36" s="12"/>
      <c r="H36" s="12"/>
    </row>
    <row r="37" spans="3:8" x14ac:dyDescent="0.25">
      <c r="C37" s="10"/>
      <c r="D37" s="10"/>
      <c r="E37" s="10"/>
      <c r="F37" s="11"/>
      <c r="G37" s="12"/>
      <c r="H37" s="12"/>
    </row>
    <row r="38" spans="3:8" x14ac:dyDescent="0.25">
      <c r="C38" s="10"/>
      <c r="D38" s="10"/>
      <c r="E38" s="10"/>
      <c r="F38" s="11"/>
      <c r="G38" s="12"/>
      <c r="H38" s="12"/>
    </row>
    <row r="39" spans="3:8" x14ac:dyDescent="0.25">
      <c r="C39" s="10"/>
      <c r="D39" s="10"/>
      <c r="E39" s="10"/>
      <c r="F39" s="11"/>
      <c r="G39" s="12"/>
      <c r="H39" s="12"/>
    </row>
    <row r="40" spans="3:8" x14ac:dyDescent="0.25">
      <c r="C40" s="10"/>
      <c r="D40" s="10"/>
      <c r="E40" s="10"/>
      <c r="F40" s="11"/>
      <c r="G40" s="12"/>
      <c r="H40" s="12"/>
    </row>
    <row r="41" spans="3:8" x14ac:dyDescent="0.25">
      <c r="C41" s="10"/>
      <c r="D41" s="10"/>
      <c r="E41" s="10"/>
      <c r="F41" s="11"/>
      <c r="G41" s="12"/>
      <c r="H41" s="12"/>
    </row>
    <row r="42" spans="3:8" x14ac:dyDescent="0.25">
      <c r="C42" s="10"/>
      <c r="D42" s="10"/>
      <c r="E42" s="10"/>
      <c r="F42" s="11"/>
      <c r="G42" s="12"/>
      <c r="H42" s="12"/>
    </row>
    <row r="43" spans="3:8" x14ac:dyDescent="0.25">
      <c r="C43" s="10"/>
      <c r="D43" s="10"/>
      <c r="E43" s="10"/>
      <c r="F43" s="11"/>
      <c r="G43" s="12"/>
      <c r="H43" s="12"/>
    </row>
    <row r="44" spans="3:8" x14ac:dyDescent="0.25">
      <c r="C44" s="10"/>
      <c r="D44" s="10"/>
      <c r="E44" s="10"/>
      <c r="F44" s="11"/>
      <c r="G44" s="12"/>
      <c r="H44" s="12"/>
    </row>
    <row r="45" spans="3:8" x14ac:dyDescent="0.25">
      <c r="C45" s="10"/>
      <c r="D45" s="10"/>
      <c r="E45" s="10"/>
      <c r="F45" s="11"/>
      <c r="G45" s="12"/>
      <c r="H45" s="12"/>
    </row>
    <row r="46" spans="3:8" x14ac:dyDescent="0.25">
      <c r="C46" s="10"/>
      <c r="D46" s="10"/>
      <c r="E46" s="10"/>
      <c r="F46" s="11"/>
      <c r="G46" s="12"/>
      <c r="H46" s="12"/>
    </row>
    <row r="47" spans="3:8" x14ac:dyDescent="0.25">
      <c r="C47" s="10"/>
      <c r="D47" s="10"/>
      <c r="E47" s="10"/>
      <c r="F47" s="11"/>
      <c r="G47" s="12"/>
      <c r="H47" s="12"/>
    </row>
    <row r="48" spans="3:8" x14ac:dyDescent="0.25">
      <c r="C48" s="10"/>
      <c r="D48" s="10"/>
      <c r="E48" s="10"/>
      <c r="F48" s="11"/>
      <c r="G48" s="12"/>
      <c r="H48" s="12"/>
    </row>
    <row r="49" spans="3:8" x14ac:dyDescent="0.25">
      <c r="C49" s="10"/>
      <c r="D49" s="10"/>
      <c r="E49" s="10"/>
      <c r="F49" s="11"/>
      <c r="G49" s="12"/>
      <c r="H49" s="12"/>
    </row>
    <row r="50" spans="3:8" x14ac:dyDescent="0.25">
      <c r="C50" s="10"/>
      <c r="D50" s="10"/>
      <c r="E50" s="10"/>
      <c r="F50" s="11"/>
      <c r="G50" s="12"/>
      <c r="H50" s="12"/>
    </row>
    <row r="51" spans="3:8" x14ac:dyDescent="0.25">
      <c r="C51" s="10"/>
      <c r="D51" s="10"/>
      <c r="E51" s="10"/>
      <c r="F51" s="11"/>
      <c r="G51" s="12"/>
      <c r="H51" s="12"/>
    </row>
    <row r="52" spans="3:8" x14ac:dyDescent="0.25">
      <c r="C52" s="10"/>
      <c r="D52" s="10"/>
      <c r="E52" s="10"/>
      <c r="F52" s="11"/>
      <c r="G52" s="12"/>
      <c r="H52" s="12"/>
    </row>
    <row r="53" spans="3:8" x14ac:dyDescent="0.25">
      <c r="C53" s="10"/>
      <c r="D53" s="10"/>
      <c r="E53" s="10"/>
      <c r="F53" s="11"/>
      <c r="G53" s="12"/>
      <c r="H53" s="12"/>
    </row>
    <row r="54" spans="3:8" x14ac:dyDescent="0.25">
      <c r="C54" s="10"/>
      <c r="D54" s="10"/>
      <c r="E54" s="10"/>
      <c r="F54" s="11"/>
      <c r="G54" s="12"/>
      <c r="H54" s="12"/>
    </row>
    <row r="55" spans="3:8" x14ac:dyDescent="0.25">
      <c r="C55" s="10"/>
      <c r="D55" s="10"/>
      <c r="E55" s="10"/>
      <c r="F55" s="11"/>
      <c r="G55" s="12"/>
      <c r="H55" s="12"/>
    </row>
    <row r="56" spans="3:8" x14ac:dyDescent="0.25">
      <c r="C56" s="10"/>
      <c r="D56" s="10"/>
      <c r="E56" s="10"/>
      <c r="F56" s="11"/>
      <c r="G56" s="12"/>
      <c r="H56" s="12"/>
    </row>
    <row r="57" spans="3:8" x14ac:dyDescent="0.25">
      <c r="C57" s="10"/>
      <c r="D57" s="10"/>
      <c r="E57" s="10"/>
      <c r="F57" s="11"/>
      <c r="G57" s="12"/>
      <c r="H57" s="12"/>
    </row>
    <row r="58" spans="3:8" x14ac:dyDescent="0.25">
      <c r="C58" s="10"/>
      <c r="D58" s="10"/>
      <c r="E58" s="10"/>
      <c r="F58" s="11"/>
      <c r="G58" s="12"/>
      <c r="H58" s="12"/>
    </row>
    <row r="59" spans="3:8" x14ac:dyDescent="0.25">
      <c r="C59" s="10"/>
      <c r="D59" s="10"/>
      <c r="E59" s="10"/>
      <c r="F59" s="11"/>
      <c r="G59" s="12"/>
      <c r="H59" s="12"/>
    </row>
    <row r="60" spans="3:8" x14ac:dyDescent="0.25">
      <c r="C60" s="10"/>
      <c r="D60" s="10"/>
      <c r="E60" s="10"/>
      <c r="F60" s="11"/>
      <c r="G60" s="12"/>
      <c r="H60" s="12"/>
    </row>
    <row r="61" spans="3:8" x14ac:dyDescent="0.25">
      <c r="C61" s="10"/>
      <c r="D61" s="10"/>
      <c r="E61" s="10"/>
      <c r="F61" s="11"/>
      <c r="G61" s="12"/>
      <c r="H61" s="12"/>
    </row>
    <row r="62" spans="3:8" x14ac:dyDescent="0.25">
      <c r="C62" s="10"/>
      <c r="D62" s="10"/>
      <c r="E62" s="10"/>
      <c r="F62" s="11"/>
      <c r="G62" s="12"/>
      <c r="H62" s="12"/>
    </row>
    <row r="63" spans="3:8" x14ac:dyDescent="0.25">
      <c r="C63" s="10"/>
      <c r="D63" s="10"/>
      <c r="E63" s="10"/>
      <c r="F63" s="11"/>
      <c r="G63" s="12"/>
      <c r="H63" s="12"/>
    </row>
    <row r="64" spans="3:8" x14ac:dyDescent="0.25">
      <c r="C64" s="10"/>
      <c r="D64" s="10"/>
      <c r="E64" s="10"/>
      <c r="F64" s="11"/>
      <c r="G64" s="12"/>
      <c r="H64" s="12"/>
    </row>
    <row r="65" spans="3:8" x14ac:dyDescent="0.25">
      <c r="C65" s="10"/>
      <c r="D65" s="10"/>
      <c r="E65" s="10"/>
      <c r="F65" s="11"/>
      <c r="G65" s="12"/>
      <c r="H65" s="12"/>
    </row>
    <row r="66" spans="3:8" x14ac:dyDescent="0.25">
      <c r="C66" s="10"/>
      <c r="D66" s="10"/>
      <c r="E66" s="10"/>
      <c r="F66" s="11"/>
      <c r="G66" s="12"/>
      <c r="H66" s="12"/>
    </row>
    <row r="67" spans="3:8" x14ac:dyDescent="0.25">
      <c r="C67" s="10"/>
      <c r="D67" s="10"/>
      <c r="E67" s="10"/>
      <c r="F67" s="11"/>
      <c r="G67" s="12"/>
      <c r="H67" s="12"/>
    </row>
    <row r="68" spans="3:8" x14ac:dyDescent="0.25">
      <c r="C68" s="10"/>
      <c r="D68" s="10"/>
      <c r="E68" s="10"/>
      <c r="F68" s="11"/>
      <c r="G68" s="12"/>
      <c r="H68" s="12"/>
    </row>
    <row r="69" spans="3:8" x14ac:dyDescent="0.25">
      <c r="C69" s="10"/>
      <c r="D69" s="10"/>
      <c r="E69" s="10"/>
      <c r="F69" s="11"/>
      <c r="G69" s="12"/>
      <c r="H69" s="12"/>
    </row>
    <row r="70" spans="3:8" x14ac:dyDescent="0.25">
      <c r="C70" s="10"/>
      <c r="D70" s="10"/>
      <c r="E70" s="10"/>
      <c r="F70" s="11"/>
      <c r="G70" s="12"/>
      <c r="H70" s="12"/>
    </row>
    <row r="71" spans="3:8" x14ac:dyDescent="0.25">
      <c r="C71" s="10"/>
      <c r="D71" s="10"/>
      <c r="E71" s="10"/>
      <c r="F71" s="11"/>
      <c r="G71" s="12"/>
      <c r="H71" s="12"/>
    </row>
    <row r="72" spans="3:8" x14ac:dyDescent="0.25">
      <c r="C72" s="10"/>
      <c r="D72" s="10"/>
      <c r="E72" s="10"/>
      <c r="F72" s="11"/>
      <c r="G72" s="12"/>
      <c r="H72" s="12"/>
    </row>
    <row r="73" spans="3:8" x14ac:dyDescent="0.25">
      <c r="C73" s="10"/>
      <c r="D73" s="10"/>
      <c r="E73" s="10"/>
      <c r="F73" s="11"/>
      <c r="G73" s="12"/>
      <c r="H73" s="12"/>
    </row>
    <row r="74" spans="3:8" x14ac:dyDescent="0.25">
      <c r="C74" s="10"/>
      <c r="D74" s="10"/>
      <c r="E74" s="10"/>
      <c r="F74" s="11"/>
      <c r="G74" s="12"/>
      <c r="H74" s="12"/>
    </row>
    <row r="75" spans="3:8" x14ac:dyDescent="0.25">
      <c r="C75" s="10"/>
      <c r="D75" s="10"/>
      <c r="E75" s="10"/>
      <c r="F75" s="11"/>
      <c r="G75" s="12"/>
      <c r="H75" s="12"/>
    </row>
    <row r="76" spans="3:8" x14ac:dyDescent="0.25">
      <c r="C76" s="10"/>
      <c r="D76" s="10"/>
      <c r="E76" s="10"/>
      <c r="F76" s="11"/>
      <c r="G76" s="12"/>
      <c r="H76" s="12"/>
    </row>
    <row r="77" spans="3:8" x14ac:dyDescent="0.25">
      <c r="C77" s="10"/>
      <c r="D77" s="10"/>
      <c r="E77" s="10"/>
      <c r="F77" s="11"/>
      <c r="G77" s="12"/>
      <c r="H77" s="12"/>
    </row>
    <row r="78" spans="3:8" x14ac:dyDescent="0.25">
      <c r="C78" s="10"/>
      <c r="D78" s="10"/>
      <c r="E78" s="10"/>
      <c r="F78" s="11"/>
      <c r="G78" s="12"/>
      <c r="H78" s="12"/>
    </row>
    <row r="79" spans="3:8" x14ac:dyDescent="0.25">
      <c r="C79" s="10"/>
      <c r="D79" s="10"/>
      <c r="E79" s="10"/>
      <c r="F79" s="11"/>
      <c r="G79" s="12"/>
      <c r="H79" s="12"/>
    </row>
    <row r="80" spans="3:8" x14ac:dyDescent="0.25">
      <c r="C80" s="10"/>
      <c r="D80" s="10"/>
      <c r="E80" s="10"/>
      <c r="F80" s="11"/>
      <c r="G80" s="12"/>
      <c r="H80" s="12"/>
    </row>
    <row r="81" spans="3:8" x14ac:dyDescent="0.25">
      <c r="C81" s="10"/>
      <c r="D81" s="10"/>
      <c r="E81" s="10"/>
      <c r="F81" s="11"/>
      <c r="G81" s="12"/>
      <c r="H81" s="12"/>
    </row>
    <row r="82" spans="3:8" x14ac:dyDescent="0.25">
      <c r="C82" s="10"/>
      <c r="D82" s="10"/>
      <c r="E82" s="10"/>
      <c r="F82" s="11"/>
      <c r="G82" s="12"/>
      <c r="H82" s="12"/>
    </row>
    <row r="83" spans="3:8" x14ac:dyDescent="0.25">
      <c r="C83" s="10"/>
      <c r="D83" s="10"/>
      <c r="E83" s="10"/>
      <c r="F83" s="11"/>
      <c r="G83" s="12"/>
      <c r="H83" s="12"/>
    </row>
    <row r="84" spans="3:8" x14ac:dyDescent="0.25">
      <c r="C84" s="10"/>
      <c r="D84" s="10"/>
      <c r="E84" s="10"/>
      <c r="F84" s="11"/>
      <c r="G84" s="12"/>
      <c r="H84" s="12"/>
    </row>
    <row r="85" spans="3:8" x14ac:dyDescent="0.25">
      <c r="C85" s="10"/>
      <c r="D85" s="10"/>
      <c r="E85" s="10"/>
      <c r="F85" s="11"/>
      <c r="G85" s="12"/>
      <c r="H85" s="12"/>
    </row>
    <row r="86" spans="3:8" x14ac:dyDescent="0.25">
      <c r="C86" s="10"/>
      <c r="D86" s="10"/>
      <c r="E86" s="10"/>
      <c r="F86" s="11"/>
      <c r="G86" s="12"/>
      <c r="H86" s="12"/>
    </row>
    <row r="87" spans="3:8" x14ac:dyDescent="0.25">
      <c r="C87" s="10"/>
      <c r="D87" s="10"/>
      <c r="E87" s="10"/>
      <c r="F87" s="11"/>
      <c r="G87" s="12"/>
      <c r="H87" s="12"/>
    </row>
    <row r="88" spans="3:8" x14ac:dyDescent="0.25">
      <c r="C88" s="10"/>
      <c r="D88" s="10"/>
      <c r="E88" s="10"/>
      <c r="F88" s="11"/>
      <c r="G88" s="12"/>
      <c r="H88" s="12"/>
    </row>
    <row r="89" spans="3:8" x14ac:dyDescent="0.25">
      <c r="C89" s="10"/>
      <c r="D89" s="10"/>
      <c r="E89" s="10"/>
      <c r="F89" s="11"/>
      <c r="G89" s="12"/>
      <c r="H89" s="12"/>
    </row>
    <row r="90" spans="3:8" x14ac:dyDescent="0.25">
      <c r="C90" s="10"/>
      <c r="D90" s="10"/>
      <c r="E90" s="10"/>
      <c r="F90" s="11"/>
      <c r="G90" s="12"/>
      <c r="H90" s="12"/>
    </row>
    <row r="91" spans="3:8" x14ac:dyDescent="0.25">
      <c r="C91" s="10"/>
      <c r="D91" s="10"/>
      <c r="E91" s="10"/>
      <c r="F91" s="11"/>
      <c r="G91" s="12"/>
      <c r="H91" s="12"/>
    </row>
    <row r="92" spans="3:8" x14ac:dyDescent="0.25">
      <c r="C92" s="10"/>
      <c r="D92" s="10"/>
      <c r="E92" s="10"/>
      <c r="F92" s="11"/>
      <c r="G92" s="12"/>
      <c r="H92" s="12"/>
    </row>
    <row r="93" spans="3:8" x14ac:dyDescent="0.25">
      <c r="C93" s="10"/>
      <c r="D93" s="10"/>
      <c r="E93" s="10"/>
      <c r="F93" s="11"/>
      <c r="G93" s="12"/>
      <c r="H93" s="12"/>
    </row>
    <row r="94" spans="3:8" x14ac:dyDescent="0.25">
      <c r="C94" s="10"/>
      <c r="D94" s="10"/>
      <c r="E94" s="10"/>
      <c r="F94" s="11"/>
      <c r="G94" s="12"/>
      <c r="H94" s="12"/>
    </row>
    <row r="95" spans="3:8" x14ac:dyDescent="0.25">
      <c r="C95" s="10"/>
      <c r="D95" s="10"/>
      <c r="E95" s="10"/>
      <c r="F95" s="11"/>
      <c r="G95" s="12"/>
      <c r="H95" s="12"/>
    </row>
    <row r="96" spans="3:8" x14ac:dyDescent="0.25">
      <c r="C96" s="10"/>
      <c r="D96" s="10"/>
      <c r="E96" s="10"/>
      <c r="F96" s="11"/>
      <c r="G96" s="12"/>
      <c r="H96" s="12"/>
    </row>
    <row r="97" spans="3:8" x14ac:dyDescent="0.25">
      <c r="C97" s="10"/>
      <c r="D97" s="10"/>
      <c r="E97" s="10"/>
      <c r="F97" s="11"/>
      <c r="G97" s="12"/>
      <c r="H97" s="12"/>
    </row>
    <row r="98" spans="3:8" x14ac:dyDescent="0.25">
      <c r="C98" s="10"/>
      <c r="D98" s="10"/>
      <c r="E98" s="10"/>
      <c r="F98" s="11"/>
      <c r="G98" s="12"/>
      <c r="H98" s="12"/>
    </row>
    <row r="99" spans="3:8" x14ac:dyDescent="0.25">
      <c r="C99" s="10"/>
      <c r="D99" s="10"/>
      <c r="E99" s="10"/>
      <c r="F99" s="11"/>
      <c r="G99" s="12"/>
      <c r="H99" s="12"/>
    </row>
    <row r="100" spans="3:8" x14ac:dyDescent="0.25">
      <c r="C100" s="10"/>
      <c r="D100" s="10"/>
      <c r="E100" s="10"/>
      <c r="F100" s="11"/>
      <c r="G100" s="12"/>
      <c r="H100" s="12"/>
    </row>
  </sheetData>
  <mergeCells count="2">
    <mergeCell ref="A1:H1"/>
    <mergeCell ref="A2:H2"/>
  </mergeCells>
  <conditionalFormatting sqref="G5:H100">
    <cfRule type="cellIs" dxfId="1" priority="1" operator="lessThan">
      <formula>0</formula>
    </cfRule>
  </conditionalFormatting>
  <conditionalFormatting sqref="G5:H100">
    <cfRule type="cellIs" dxfId="0" priority="2" operator="greaterThan">
      <formula>0</formula>
    </cfRule>
  </conditionalFormatting>
  <pageMargins left="0.7" right="0.7" top="0.75" bottom="0.75" header="0.3" footer="0.3"/>
  <headerFooter>
    <oddHeader>&amp;L&amp;"Arial"&amp;9&amp;KA80000 CONFIDENTIAL&amp;1#_x000D_</oddHeader>
  </headerFooter>
  <tableParts count="1">
    <tablePart r:id="rId1"/>
  </tableParts>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Dashboard</vt:lpstr>
      <vt:lpstr>Velan</vt:lpstr>
      <vt:lpstr>Pavi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Sekar, Singaravelan</dc:creator>
  <cp:lastModifiedBy>Sekar, Singaravelan</cp:lastModifiedBy>
  <dcterms:created xsi:type="dcterms:W3CDTF">2026-09-02T05:59:58Z</dcterms:created>
  <dcterms:modified xsi:type="dcterms:W3CDTF">2026-09-02T06:12:20Z</dcterms:modified>
</cp:coreProperties>
</file>